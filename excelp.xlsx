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jeth\Desktop\"/>
    </mc:Choice>
  </mc:AlternateContent>
  <xr:revisionPtr revIDLastSave="0" documentId="13_ncr:1_{E4603F43-42F7-4F46-9EA6-E948F0750068}" xr6:coauthVersionLast="47" xr6:coauthVersionMax="47" xr10:uidLastSave="{00000000-0000-0000-0000-000000000000}"/>
  <bookViews>
    <workbookView xWindow="-108" yWindow="-108" windowWidth="23256" windowHeight="12456" activeTab="2" xr2:uid="{00000000-000D-0000-FFFF-FFFF00000000}"/>
  </bookViews>
  <sheets>
    <sheet name="LPG Dataset 2026" sheetId="1" r:id="rId1"/>
    <sheet name="Pivot Table" sheetId="2" r:id="rId2"/>
    <sheet name="Dashboard" sheetId="7" r:id="rId3"/>
  </sheets>
  <definedNames>
    <definedName name="Slicer_Date">#N/A</definedName>
    <definedName name="Slicer_Import_Source">#N/A</definedName>
    <definedName name="Slicer_Region">#N/A</definedName>
    <definedName name="Slicer_Supply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 l="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8" i="1"/>
  <c r="I9" i="1"/>
  <c r="I11" i="1"/>
  <c r="I12" i="1"/>
  <c r="I13" i="1"/>
  <c r="I14" i="1"/>
  <c r="I15" i="1"/>
  <c r="I16" i="1"/>
  <c r="I17" i="1"/>
  <c r="I18" i="1"/>
  <c r="I19" i="1"/>
  <c r="I20" i="1"/>
  <c r="I4" i="1"/>
  <c r="I5" i="1"/>
  <c r="I6" i="1"/>
  <c r="I7" i="1"/>
  <c r="I3" i="1"/>
  <c r="I2" i="1"/>
  <c r="H9" i="1"/>
  <c r="H10" i="1"/>
  <c r="H11" i="1"/>
  <c r="H12" i="1"/>
  <c r="H3" i="1"/>
  <c r="H4" i="1"/>
  <c r="H5" i="1"/>
  <c r="H6" i="1"/>
  <c r="H7" i="1"/>
  <c r="H8" i="1"/>
  <c r="H2"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101" i="1"/>
  <c r="G102" i="1"/>
  <c r="G103" i="1"/>
  <c r="G104" i="1"/>
  <c r="G105" i="1"/>
  <c r="G106" i="1"/>
  <c r="G107" i="1"/>
  <c r="G108" i="1"/>
  <c r="G109" i="1"/>
  <c r="G110" i="1"/>
  <c r="G111" i="1"/>
  <c r="G112" i="1"/>
  <c r="G113" i="1"/>
  <c r="G92" i="1"/>
  <c r="G93" i="1"/>
  <c r="G94" i="1"/>
  <c r="G95" i="1"/>
  <c r="G96" i="1"/>
  <c r="G97" i="1"/>
  <c r="G98" i="1"/>
  <c r="G99" i="1"/>
  <c r="G10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8" i="1"/>
  <c r="G9" i="1"/>
  <c r="G10" i="1"/>
  <c r="G11" i="1"/>
  <c r="G12" i="1"/>
  <c r="G13" i="1"/>
  <c r="G14" i="1"/>
  <c r="G15" i="1"/>
  <c r="G16" i="1"/>
  <c r="G17" i="1"/>
  <c r="G18" i="1"/>
  <c r="G19" i="1"/>
  <c r="G20" i="1"/>
  <c r="G4" i="1"/>
  <c r="G5" i="1"/>
  <c r="G6" i="1"/>
  <c r="G7" i="1"/>
  <c r="G3" i="1"/>
  <c r="G2" i="1"/>
  <c r="J12" i="7"/>
  <c r="I12" i="7"/>
  <c r="D10" i="7"/>
  <c r="B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tc={951740D0-35DD-4244-A6B7-860C4FBA6AB6}</author>
    <author>tc={C641ECD3-98ED-4F99-89E7-958CA3AF1AED}</author>
  </authors>
  <commentList>
    <comment ref="G2" authorId="0" shapeId="0" xr:uid="{951740D0-35DD-4244-A6B7-860C4FBA6AB6}">
      <text>
        <t>[Threaded comment]
Your version of Excel allows you to read this threaded comment; however, any edits to it will get removed if the file is opened in a newer version of Excel. Learn more: https://go.microsoft.com/fwlink/?linkid=870924
Comment:
     This Icon Presents Huge shortage of Lpg</t>
      </text>
    </comment>
    <comment ref="G3" authorId="1" shapeId="0" xr:uid="{C641ECD3-98ED-4F99-89E7-958CA3AF1AED}">
      <text>
        <t>[Threaded comment]
Your version of Excel allows you to read this threaded comment; however, any edits to it will get removed if the file is opened in a newer version of Excel. Learn more: https://go.microsoft.com/fwlink/?linkid=870924
Comment:
    This Icon  presents Controlled situation</t>
      </text>
    </comment>
  </commentList>
</comments>
</file>

<file path=xl/sharedStrings.xml><?xml version="1.0" encoding="utf-8"?>
<sst xmlns="http://schemas.openxmlformats.org/spreadsheetml/2006/main" count="1040" uniqueCount="31">
  <si>
    <t>Date</t>
  </si>
  <si>
    <t>Region</t>
  </si>
  <si>
    <t>Cylinder Type</t>
  </si>
  <si>
    <t>Price (₹)</t>
  </si>
  <si>
    <t>Import Source</t>
  </si>
  <si>
    <t>Supply Level</t>
  </si>
  <si>
    <t>Jan-2026</t>
  </si>
  <si>
    <t>Kolkata</t>
  </si>
  <si>
    <t>Commercial</t>
  </si>
  <si>
    <t>USA</t>
  </si>
  <si>
    <t>Shortage</t>
  </si>
  <si>
    <t>Chennai</t>
  </si>
  <si>
    <t>Argentina</t>
  </si>
  <si>
    <t>Normal</t>
  </si>
  <si>
    <t>Domestic</t>
  </si>
  <si>
    <t>Qatar</t>
  </si>
  <si>
    <t>Delayed</t>
  </si>
  <si>
    <t>Patna</t>
  </si>
  <si>
    <t>Mumbai</t>
  </si>
  <si>
    <t>Delhi</t>
  </si>
  <si>
    <t>Feb-2026</t>
  </si>
  <si>
    <t>Mar-2026</t>
  </si>
  <si>
    <t>Row Labels</t>
  </si>
  <si>
    <t>Grand Total</t>
  </si>
  <si>
    <t>Count of Supply Level</t>
  </si>
  <si>
    <t>Average of Price (₹)</t>
  </si>
  <si>
    <t>Column Labels</t>
  </si>
  <si>
    <t>Status Alert</t>
  </si>
  <si>
    <t>Earliest Refill Date</t>
  </si>
  <si>
    <t xml:space="preserve">     Regional Crisis 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</si>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</sst>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_ * #,##0_ ;_ * \-#,##0_ ;_ * &quot;-&quot;??_ ;_ @_ "/>
    <numFmt numFmtId="165" formatCode="0.00000"/>
  </numFmts>
  <fonts count="9" x14ac:knownFonts="1">
    <font>
      <sz val="11"/>
      <color theme="1"/>
      <name val="Calibri"/>
      <family val="2"/>
      <scheme val="minor"/>
    </font>
    <font>
      <sz val="8"/>
      <name val="Calibri"/>
      <family val="2"/>
      <scheme val="minor"/>
    </font>
    <font>
      <b/>
      <i/>
      <sz val="12"/>
      <color theme="1"/>
      <name val="Calibri"/>
      <family val="2"/>
      <scheme val="minor"/>
    </font>
    <font>
      <sz val="11"/>
      <color theme="1"/>
      <name val="Calibri"/>
      <family val="2"/>
      <scheme val="minor"/>
    </font>
    <font>
      <sz val="11"/>
      <color theme="0"/>
      <name val="Calibri"/>
      <family val="2"/>
      <scheme val="minor"/>
    </font>
    <font>
      <sz val="11"/>
      <color theme="1"/>
      <name val="Arial Narrow"/>
      <family val="2"/>
    </font>
    <font>
      <sz val="11"/>
      <name val="Calibri"/>
      <family val="2"/>
      <scheme val="minor"/>
    </font>
    <font>
      <sz val="14"/>
      <color theme="0"/>
      <name val="Calibri"/>
      <family val="2"/>
      <scheme val="minor"/>
    </font>
    <font>
      <b/>
      <sz val="20"/>
      <color theme="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0" fontId="7" fillId="3" borderId="0" xfId="0" applyFont="1" applyFill="1"/>
    <xf numFmtId="10" fontId="4" fillId="3" borderId="0" xfId="1" applyNumberFormat="1" applyFont="1" applyFill="1"/>
    <xf numFmtId="0" fontId="0" fillId="3" borderId="0" xfId="0" applyFill="1"/>
    <xf numFmtId="0" fontId="0" fillId="4" borderId="0" xfId="0" applyFill="1"/>
    <xf numFmtId="0" fontId="0" fillId="4" borderId="0" xfId="0" applyFill="1" applyAlignment="1">
      <alignment horizontal="left"/>
    </xf>
    <xf numFmtId="165" fontId="0" fillId="4" borderId="0" xfId="0" applyNumberFormat="1" applyFill="1"/>
    <xf numFmtId="1" fontId="0" fillId="4" borderId="0" xfId="0" applyNumberFormat="1" applyFill="1"/>
    <xf numFmtId="164" fontId="0" fillId="4" borderId="0" xfId="0" applyNumberFormat="1" applyFill="1"/>
    <xf numFmtId="8" fontId="8" fillId="3" borderId="0" xfId="0" applyNumberFormat="1" applyFont="1" applyFill="1"/>
    <xf numFmtId="9" fontId="0" fillId="3" borderId="0" xfId="1" applyFont="1" applyFill="1"/>
    <xf numFmtId="0" fontId="5" fillId="3" borderId="0" xfId="0" applyFont="1" applyFill="1"/>
    <xf numFmtId="0" fontId="4" fillId="3" borderId="0" xfId="0" applyFont="1" applyFill="1"/>
    <xf numFmtId="0" fontId="6" fillId="3" borderId="0" xfId="0" applyFont="1" applyFill="1"/>
  </cellXfs>
  <cellStyles count="2">
    <cellStyle name="Normal" xfId="0" builtinId="0"/>
    <cellStyle name="Percent" xfId="1" builtinId="5"/>
  </cellStyles>
  <dxfs count="63">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4" formatCode="_ * #,##0_ ;_ * \-#,##0_ ;_ * &quot;-&quot;??_ ;_ @_ "/>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0" formatCode="General"/>
    </dxf>
    <dxf>
      <fill>
        <patternFill patternType="none">
          <bgColor auto="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5" formatCode="0.00000"/>
    </dxf>
    <dxf>
      <numFmt numFmtId="1" formatCode="0"/>
    </dxf>
    <dxf>
      <fill>
        <patternFill>
          <bgColor rgb="FFF7FDD1"/>
        </patternFill>
      </fill>
    </dxf>
    <dxf>
      <fill>
        <patternFill patternType="solid">
          <bgColor theme="4" tint="0.79998168889431442"/>
        </patternFill>
      </fill>
    </dxf>
  </dxfs>
  <tableStyles count="0" defaultTableStyle="TableStyleMedium9" defaultPivotStyle="PivotStyleLight16"/>
  <colors>
    <mruColors>
      <color rgb="FFF7FD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[excelp.xlsx]Pivot Table!PivotTable3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
            </a:r>
            <a:r>
              <a:rPr lang="en-IN" sz="1400" b="1" i="0" u="none" strike="noStrike" baseline="0">
                <a:latin typeface="+mj-lt"/>
              </a:rPr>
              <a:t>Average LPG Price</a:t>
            </a:r>
          </a:p>
          <a:p>
            <a:pPr>
              <a:defRPr/>
            </a:pPr>
            <a:r>
              <a:rPr lang="en-IN" sz="1400" b="1" i="0" u="none" strike="noStrike" baseline="0">
                <a:latin typeface="+mj-lt"/>
              </a:rPr>
              <a:t> by Region"</a:t>
            </a:r>
          </a:p>
          <a:p>
            <a:pPr>
              <a:defRPr/>
            </a:pPr>
            <a:endParaRPr lang="en-US"/>
          </a:p>
        </c:rich>
      </c:tx>
      <c:layout>
        <c:manualLayout>
          <c:xMode val="edge"/>
          <c:yMode val="edge"/>
          <c:x val="0.22202426951272999"/>
          <c:y val="4.033510161682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5775868925478"/>
          <c:y val="0.32594570049875793"/>
          <c:w val="0.83184922250851367"/>
          <c:h val="0.56694513590144524"/>
        </c:manualLayout>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Mumbai</c:v>
                </c:pt>
                <c:pt idx="1">
                  <c:v>Patna</c:v>
                </c:pt>
                <c:pt idx="2">
                  <c:v>Kolkata</c:v>
                </c:pt>
                <c:pt idx="3">
                  <c:v>Delhi</c:v>
                </c:pt>
                <c:pt idx="4">
                  <c:v>Chennai</c:v>
                </c:pt>
              </c:strCache>
            </c:strRef>
          </c:cat>
          <c:val>
            <c:numRef>
              <c:f>'Pivot Table'!$E$4:$E$9</c:f>
              <c:numCache>
                <c:formatCode>General</c:formatCode>
                <c:ptCount val="5"/>
                <c:pt idx="0">
                  <c:v>1154.9714285714285</c:v>
                </c:pt>
                <c:pt idx="1">
                  <c:v>1141.1290322580646</c:v>
                </c:pt>
                <c:pt idx="2">
                  <c:v>1127.2750000000001</c:v>
                </c:pt>
                <c:pt idx="3">
                  <c:v>1126.2127659574469</c:v>
                </c:pt>
                <c:pt idx="4">
                  <c:v>1078.4255319148936</c:v>
                </c:pt>
              </c:numCache>
            </c:numRef>
          </c:val>
          <c:extLst>
            <c:ext xmlns:c16="http://schemas.microsoft.com/office/drawing/2014/chart" uri="{C3380CC4-5D6E-409C-BE32-E72D297353CC}">
              <c16:uniqueId val="{00000000-777D-4960-864A-1CB7C892A292}"/>
            </c:ext>
          </c:extLst>
        </c:ser>
        <c:dLbls>
          <c:showLegendKey val="0"/>
          <c:showVal val="0"/>
          <c:showCatName val="0"/>
          <c:showSerName val="0"/>
          <c:showPercent val="0"/>
          <c:showBubbleSize val="0"/>
        </c:dLbls>
        <c:gapWidth val="219"/>
        <c:axId val="1007482639"/>
        <c:axId val="1007483119"/>
      </c:barChart>
      <c:catAx>
        <c:axId val="100748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83119"/>
        <c:crosses val="autoZero"/>
        <c:auto val="1"/>
        <c:lblAlgn val="ctr"/>
        <c:lblOffset val="100"/>
        <c:noMultiLvlLbl val="0"/>
      </c:catAx>
      <c:valAx>
        <c:axId val="10074831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4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[excelp.xlsx]Pivot Table!PivotTable1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mj-lt"/>
              </a:rPr>
              <a:t>"Supply Distribution Overview</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tx2"/>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lumMod val="40000"/>
              <a:lumOff val="60000"/>
            </a:schemeClr>
          </a:solidFill>
          <a:ln w="19050">
            <a:solidFill>
              <a:schemeClr val="lt1"/>
            </a:solidFill>
          </a:ln>
          <a:effectLst/>
        </c:spPr>
      </c:pivotFmt>
      <c:pivotFmt>
        <c:idx val="21"/>
        <c:spPr>
          <a:solidFill>
            <a:schemeClr val="tx2"/>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lumMod val="40000"/>
              <a:lumOff val="60000"/>
            </a:schemeClr>
          </a:solidFill>
          <a:ln w="19050">
            <a:solidFill>
              <a:schemeClr val="lt1"/>
            </a:solidFill>
          </a:ln>
          <a:effectLst/>
        </c:spPr>
      </c:pivotFmt>
      <c:pivotFmt>
        <c:idx val="25"/>
        <c:spPr>
          <a:solidFill>
            <a:schemeClr val="tx2"/>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6-4FCF-B931-7040720E9071}"/>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EE16-4FCF-B931-7040720E9071}"/>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EE16-4FCF-B931-7040720E907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Delayed</c:v>
                </c:pt>
                <c:pt idx="1">
                  <c:v>Normal</c:v>
                </c:pt>
                <c:pt idx="2">
                  <c:v>Shortage</c:v>
                </c:pt>
              </c:strCache>
            </c:strRef>
          </c:cat>
          <c:val>
            <c:numRef>
              <c:f>'Pivot Table'!$B$4:$B$7</c:f>
              <c:numCache>
                <c:formatCode>General</c:formatCode>
                <c:ptCount val="3"/>
                <c:pt idx="0">
                  <c:v>54</c:v>
                </c:pt>
                <c:pt idx="1">
                  <c:v>129</c:v>
                </c:pt>
                <c:pt idx="2">
                  <c:v>17</c:v>
                </c:pt>
              </c:numCache>
            </c:numRef>
          </c:val>
          <c:extLst>
            <c:ext xmlns:c16="http://schemas.microsoft.com/office/drawing/2014/chart" uri="{C3380CC4-5D6E-409C-BE32-E72D297353CC}">
              <c16:uniqueId val="{00000006-EE16-4FCF-B931-7040720E90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97791213956524"/>
          <c:y val="0.74649679133006119"/>
          <c:w val="0.16744083342611532"/>
          <c:h val="0.248013278359735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mj-lt"/>
              </a:rPr>
              <a:t>“</a:t>
            </a:r>
            <a:r>
              <a:rPr lang="en-IN" sz="1400" b="1" i="0" u="none" strike="noStrike" baseline="0">
                <a:latin typeface="+mj-lt"/>
              </a:rPr>
              <a:t>Average LPG Price</a:t>
            </a:r>
          </a:p>
          <a:p>
            <a:pPr>
              <a:defRPr/>
            </a:pPr>
            <a:r>
              <a:rPr lang="en-IN" sz="1400" b="1" i="0" u="none" strike="noStrike" baseline="0">
                <a:latin typeface="+mj-lt"/>
              </a:rPr>
              <a:t> by Import Source</a:t>
            </a:r>
            <a:r>
              <a:rPr lang="en-IN" sz="1400" b="0" i="0" u="none" strike="noStrike" baseline="0"/>
              <a:t>"</a:t>
            </a:r>
          </a:p>
          <a:p>
            <a:pPr>
              <a:defRPr/>
            </a:pPr>
            <a:endParaRPr lang="en-IN"/>
          </a:p>
        </c:rich>
      </c:tx>
      <c:layout>
        <c:manualLayout>
          <c:xMode val="edge"/>
          <c:yMode val="edge"/>
          <c:x val="0.24401842067391707"/>
          <c:y val="1.5825856070316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USA</c:v>
              </c:pt>
            </c:strLit>
          </c:cat>
          <c:val>
            <c:numLit>
              <c:formatCode>General</c:formatCode>
              <c:ptCount val="1"/>
              <c:pt idx="0">
                <c:v>1132.375</c:v>
              </c:pt>
            </c:numLit>
          </c:val>
          <c:extLst>
            <c:ext xmlns:c16="http://schemas.microsoft.com/office/drawing/2014/chart" uri="{C3380CC4-5D6E-409C-BE32-E72D297353CC}">
              <c16:uniqueId val="{00000000-2518-4F8E-B6C0-DC66E6BBBCB7}"/>
            </c:ext>
          </c:extLst>
        </c:ser>
        <c:dLbls>
          <c:showLegendKey val="0"/>
          <c:showVal val="0"/>
          <c:showCatName val="0"/>
          <c:showSerName val="0"/>
          <c:showPercent val="0"/>
          <c:showBubbleSize val="0"/>
        </c:dLbls>
        <c:gapWidth val="219"/>
        <c:overlap val="-27"/>
        <c:axId val="701272511"/>
        <c:axId val="701289311"/>
      </c:barChart>
      <c:catAx>
        <c:axId val="7012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89311"/>
        <c:crosses val="autoZero"/>
        <c:auto val="1"/>
        <c:lblAlgn val="ctr"/>
        <c:lblOffset val="100"/>
        <c:noMultiLvlLbl val="0"/>
      </c:catAx>
      <c:valAx>
        <c:axId val="70128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[excelp.xlsx]Pivot Table!PivotTable5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mj-lt"/>
              </a:rPr>
              <a:t>"</a:t>
            </a:r>
            <a:r>
              <a:rPr lang="en-IN" sz="1400" b="1">
                <a:latin typeface="+mj-lt"/>
              </a:rPr>
              <a:t>LPG</a:t>
            </a:r>
            <a:r>
              <a:rPr lang="en-IN" sz="1400" b="1" baseline="0">
                <a:latin typeface="+mj-lt"/>
              </a:rPr>
              <a:t> SUPPLY RATE</a:t>
            </a:r>
          </a:p>
          <a:p>
            <a:pPr>
              <a:defRPr/>
            </a:pPr>
            <a:r>
              <a:rPr lang="en-IN" sz="1400" b="1" baseline="0">
                <a:latin typeface="+mj-lt"/>
              </a:rPr>
              <a:t>By TYPES"</a:t>
            </a:r>
          </a:p>
          <a:p>
            <a:pPr>
              <a:defRPr/>
            </a:pPr>
            <a:endParaRPr lang="en-IN"/>
          </a:p>
        </c:rich>
      </c:tx>
      <c:layout>
        <c:manualLayout>
          <c:xMode val="edge"/>
          <c:yMode val="edge"/>
          <c:x val="0.33436695413073364"/>
          <c:y val="2.1877945505430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77626086229834E-2"/>
          <c:y val="0.25751548080888675"/>
          <c:w val="0.93596433863177819"/>
          <c:h val="0.63222403441892983"/>
        </c:manualLayout>
      </c:layout>
      <c:barChart>
        <c:barDir val="col"/>
        <c:grouping val="stacked"/>
        <c:varyColors val="0"/>
        <c:ser>
          <c:idx val="0"/>
          <c:order val="0"/>
          <c:tx>
            <c:strRef>
              <c:f>'Pivot Table'!$K$3:$K$4</c:f>
              <c:strCache>
                <c:ptCount val="1"/>
                <c:pt idx="0">
                  <c:v>Delayed</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Table'!$K$5:$K$7</c:f>
              <c:numCache>
                <c:formatCode>General</c:formatCode>
                <c:ptCount val="2"/>
                <c:pt idx="0">
                  <c:v>26</c:v>
                </c:pt>
                <c:pt idx="1">
                  <c:v>28</c:v>
                </c:pt>
              </c:numCache>
            </c:numRef>
          </c:val>
          <c:extLst>
            <c:ext xmlns:c16="http://schemas.microsoft.com/office/drawing/2014/chart" uri="{C3380CC4-5D6E-409C-BE32-E72D297353CC}">
              <c16:uniqueId val="{00000000-B04F-4D8B-9034-3CF0781C0C52}"/>
            </c:ext>
          </c:extLst>
        </c:ser>
        <c:ser>
          <c:idx val="1"/>
          <c:order val="1"/>
          <c:tx>
            <c:strRef>
              <c:f>'Pivot Table'!$L$3:$L$4</c:f>
              <c:strCache>
                <c:ptCount val="1"/>
                <c:pt idx="0">
                  <c:v>Normal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Table'!$L$5:$L$7</c:f>
              <c:numCache>
                <c:formatCode>General</c:formatCode>
                <c:ptCount val="2"/>
                <c:pt idx="0">
                  <c:v>72</c:v>
                </c:pt>
                <c:pt idx="1">
                  <c:v>57</c:v>
                </c:pt>
              </c:numCache>
            </c:numRef>
          </c:val>
          <c:extLst>
            <c:ext xmlns:c16="http://schemas.microsoft.com/office/drawing/2014/chart" uri="{C3380CC4-5D6E-409C-BE32-E72D297353CC}">
              <c16:uniqueId val="{00000001-18D4-4107-A78E-FE235274EE81}"/>
            </c:ext>
          </c:extLst>
        </c:ser>
        <c:ser>
          <c:idx val="2"/>
          <c:order val="2"/>
          <c:tx>
            <c:strRef>
              <c:f>'Pivot Table'!$M$3:$M$4</c:f>
              <c:strCache>
                <c:ptCount val="1"/>
                <c:pt idx="0">
                  <c:v>Shortage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Commercial</c:v>
                </c:pt>
                <c:pt idx="1">
                  <c:v>Domestic</c:v>
                </c:pt>
              </c:strCache>
            </c:strRef>
          </c:cat>
          <c:val>
            <c:numRef>
              <c:f>'Pivot Table'!$M$5:$M$7</c:f>
              <c:numCache>
                <c:formatCode>General</c:formatCode>
                <c:ptCount val="2"/>
                <c:pt idx="0">
                  <c:v>9</c:v>
                </c:pt>
                <c:pt idx="1">
                  <c:v>8</c:v>
                </c:pt>
              </c:numCache>
            </c:numRef>
          </c:val>
          <c:extLst>
            <c:ext xmlns:c16="http://schemas.microsoft.com/office/drawing/2014/chart" uri="{C3380CC4-5D6E-409C-BE32-E72D297353CC}">
              <c16:uniqueId val="{00000002-18D4-4107-A78E-FE235274EE81}"/>
            </c:ext>
          </c:extLst>
        </c:ser>
        <c:dLbls>
          <c:dLblPos val="ctr"/>
          <c:showLegendKey val="0"/>
          <c:showVal val="1"/>
          <c:showCatName val="0"/>
          <c:showSerName val="0"/>
          <c:showPercent val="0"/>
          <c:showBubbleSize val="0"/>
        </c:dLbls>
        <c:gapWidth val="150"/>
        <c:overlap val="100"/>
        <c:axId val="1228198831"/>
        <c:axId val="1228198351"/>
      </c:barChart>
      <c:catAx>
        <c:axId val="1228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8351"/>
        <c:crosses val="autoZero"/>
        <c:auto val="1"/>
        <c:lblAlgn val="ctr"/>
        <c:lblOffset val="100"/>
        <c:noMultiLvlLbl val="0"/>
      </c:catAx>
      <c:valAx>
        <c:axId val="122819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98831"/>
        <c:crosses val="autoZero"/>
        <c:crossBetween val="between"/>
      </c:valAx>
      <c:spPr>
        <a:noFill/>
        <a:ln>
          <a:noFill/>
        </a:ln>
        <a:effectLst/>
      </c:spPr>
    </c:plotArea>
    <c:legend>
      <c:legendPos val="l"/>
      <c:layout>
        <c:manualLayout>
          <c:xMode val="edge"/>
          <c:yMode val="edge"/>
          <c:x val="2.3809523809523808E-2"/>
          <c:y val="2.0652023760188137E-3"/>
          <c:w val="0.19316147981502313"/>
          <c:h val="0.23372739764870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0</xdr:row>
      <xdr:rowOff>121920</xdr:rowOff>
    </xdr:from>
    <xdr:to>
      <xdr:col>1</xdr:col>
      <xdr:colOff>457200</xdr:colOff>
      <xdr:row>4</xdr:row>
      <xdr:rowOff>114300</xdr:rowOff>
    </xdr:to>
    <xdr:pic>
      <xdr:nvPicPr>
        <xdr:cNvPr id="3" name="Picture 2">
          <a:extLst>
            <a:ext uri="{FF2B5EF4-FFF2-40B4-BE49-F238E27FC236}">
              <a16:creationId xmlns:a16="http://schemas.microsoft.com/office/drawing/2014/main" id="{0DF21332-3C0C-7C17-AB2A-557E99A67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121920"/>
          <a:ext cx="975360" cy="723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xdr:col>
      <xdr:colOff>548640</xdr:colOff>
      <xdr:row>0</xdr:row>
      <xdr:rowOff>121920</xdr:rowOff>
    </xdr:from>
    <xdr:to>
      <xdr:col>8</xdr:col>
      <xdr:colOff>182880</xdr:colOff>
      <xdr:row>5</xdr:row>
      <xdr:rowOff>22860</xdr:rowOff>
    </xdr:to>
    <xdr:sp macro="" textlink="">
      <xdr:nvSpPr>
        <xdr:cNvPr id="4" name="Rectangle 3">
          <a:extLst>
            <a:ext uri="{FF2B5EF4-FFF2-40B4-BE49-F238E27FC236}">
              <a16:creationId xmlns:a16="http://schemas.microsoft.com/office/drawing/2014/main" id="{EBEE9BE7-CD46-D775-6406-56A01C8AB610}"/>
            </a:ext>
          </a:extLst>
        </xdr:cNvPr>
        <xdr:cNvSpPr/>
      </xdr:nvSpPr>
      <xdr:spPr>
        <a:xfrm>
          <a:off x="1158240" y="121920"/>
          <a:ext cx="4503420" cy="815340"/>
        </a:xfrm>
        <a:prstGeom prst="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5</xdr:row>
      <xdr:rowOff>60960</xdr:rowOff>
    </xdr:from>
    <xdr:to>
      <xdr:col>2</xdr:col>
      <xdr:colOff>472440</xdr:colOff>
      <xdr:row>9</xdr:row>
      <xdr:rowOff>304800</xdr:rowOff>
    </xdr:to>
    <xdr:sp macro="" textlink="">
      <xdr:nvSpPr>
        <xdr:cNvPr id="6" name="Rectangle 5">
          <a:extLst>
            <a:ext uri="{FF2B5EF4-FFF2-40B4-BE49-F238E27FC236}">
              <a16:creationId xmlns:a16="http://schemas.microsoft.com/office/drawing/2014/main" id="{6DE4A1D5-F746-5910-1B53-3FF8172EF51D}"/>
            </a:ext>
          </a:extLst>
        </xdr:cNvPr>
        <xdr:cNvSpPr/>
      </xdr:nvSpPr>
      <xdr:spPr>
        <a:xfrm>
          <a:off x="30480" y="975360"/>
          <a:ext cx="1661160" cy="97536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c</a:t>
          </a:r>
        </a:p>
      </xdr:txBody>
    </xdr:sp>
    <xdr:clientData/>
  </xdr:twoCellAnchor>
  <xdr:twoCellAnchor editAs="oneCell">
    <xdr:from>
      <xdr:col>1</xdr:col>
      <xdr:colOff>426721</xdr:colOff>
      <xdr:row>0</xdr:row>
      <xdr:rowOff>68580</xdr:rowOff>
    </xdr:from>
    <xdr:to>
      <xdr:col>8</xdr:col>
      <xdr:colOff>220980</xdr:colOff>
      <xdr:row>6</xdr:row>
      <xdr:rowOff>32096</xdr:rowOff>
    </xdr:to>
    <xdr:pic>
      <xdr:nvPicPr>
        <xdr:cNvPr id="9" name="Picture 8">
          <a:extLst>
            <a:ext uri="{FF2B5EF4-FFF2-40B4-BE49-F238E27FC236}">
              <a16:creationId xmlns:a16="http://schemas.microsoft.com/office/drawing/2014/main" id="{146BE392-3123-85A5-D49C-7A341D48F16F}"/>
            </a:ext>
          </a:extLst>
        </xdr:cNvPr>
        <xdr:cNvPicPr>
          <a:picLocks noChangeAspect="1"/>
        </xdr:cNvPicPr>
      </xdr:nvPicPr>
      <xdr:blipFill>
        <a:blip xmlns:r="http://schemas.openxmlformats.org/officeDocument/2006/relationships" r:embed="rId2"/>
        <a:stretch>
          <a:fillRect/>
        </a:stretch>
      </xdr:blipFill>
      <xdr:spPr>
        <a:xfrm>
          <a:off x="1036321" y="68580"/>
          <a:ext cx="4663439" cy="1060796"/>
        </a:xfrm>
        <a:prstGeom prst="rect">
          <a:avLst/>
        </a:prstGeom>
      </xdr:spPr>
    </xdr:pic>
    <xdr:clientData/>
  </xdr:twoCellAnchor>
  <xdr:twoCellAnchor>
    <xdr:from>
      <xdr:col>5</xdr:col>
      <xdr:colOff>495300</xdr:colOff>
      <xdr:row>5</xdr:row>
      <xdr:rowOff>76200</xdr:rowOff>
    </xdr:from>
    <xdr:to>
      <xdr:col>10</xdr:col>
      <xdr:colOff>365760</xdr:colOff>
      <xdr:row>9</xdr:row>
      <xdr:rowOff>320040</xdr:rowOff>
    </xdr:to>
    <xdr:sp macro="" textlink="">
      <xdr:nvSpPr>
        <xdr:cNvPr id="10" name="Rectangle 9">
          <a:extLst>
            <a:ext uri="{FF2B5EF4-FFF2-40B4-BE49-F238E27FC236}">
              <a16:creationId xmlns:a16="http://schemas.microsoft.com/office/drawing/2014/main" id="{0E85F34A-650E-05EE-0F65-A9F1FF3E79F9}"/>
            </a:ext>
          </a:extLst>
        </xdr:cNvPr>
        <xdr:cNvSpPr/>
      </xdr:nvSpPr>
      <xdr:spPr>
        <a:xfrm>
          <a:off x="4145280" y="990600"/>
          <a:ext cx="2918460" cy="975360"/>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7</xdr:row>
      <xdr:rowOff>30480</xdr:rowOff>
    </xdr:from>
    <xdr:to>
      <xdr:col>2</xdr:col>
      <xdr:colOff>335280</xdr:colOff>
      <xdr:row>8</xdr:row>
      <xdr:rowOff>152400</xdr:rowOff>
    </xdr:to>
    <xdr:sp macro="" textlink="$B$10">
      <xdr:nvSpPr>
        <xdr:cNvPr id="4097" name="Text Box 1" hidden="1">
          <a:extLst>
            <a:ext uri="{FF2B5EF4-FFF2-40B4-BE49-F238E27FC236}">
              <a16:creationId xmlns:a16="http://schemas.microsoft.com/office/drawing/2014/main" id="{57AC5648-B51A-DDA5-3259-AE9611EBBFF5}"/>
            </a:ext>
          </a:extLst>
        </xdr:cNvPr>
        <xdr:cNvSpPr txBox="1">
          <a:spLocks noChangeArrowheads="1"/>
        </xdr:cNvSpPr>
      </xdr:nvSpPr>
      <xdr:spPr bwMode="auto">
        <a:xfrm>
          <a:off x="106680" y="1310640"/>
          <a:ext cx="1447800" cy="304800"/>
        </a:xfrm>
        <a:prstGeom prst="rect">
          <a:avLst/>
        </a:prstGeom>
        <a:noFill/>
        <a:ln w="9525">
          <a:noFill/>
          <a:miter lim="800000"/>
          <a:headEnd/>
          <a:tailEnd/>
        </a:ln>
      </xdr:spPr>
      <xdr:txBody>
        <a:bodyPr vertOverflow="clip" wrap="square" lIns="36576" tIns="32004" rIns="0" bIns="0" anchor="t" upright="1"/>
        <a:lstStyle/>
        <a:p>
          <a:pPr algn="ctr" rtl="0">
            <a:defRPr sz="1000"/>
          </a:pPr>
          <a:endParaRPr lang="en-IN" sz="2000" b="1" i="0" u="none" strike="noStrike" baseline="0">
            <a:solidFill>
              <a:srgbClr val="000000"/>
            </a:solidFill>
            <a:latin typeface="Arial Narrow" panose="020B0606020202030204" pitchFamily="34" charset="0"/>
            <a:ea typeface="Calibri"/>
            <a:cs typeface="Calibri"/>
          </a:endParaRPr>
        </a:p>
      </xdr:txBody>
    </xdr:sp>
    <xdr:clientData/>
  </xdr:twoCellAnchor>
  <xdr:oneCellAnchor>
    <xdr:from>
      <xdr:col>7</xdr:col>
      <xdr:colOff>76200</xdr:colOff>
      <xdr:row>5</xdr:row>
      <xdr:rowOff>97297</xdr:rowOff>
    </xdr:from>
    <xdr:ext cx="1798320" cy="257699"/>
    <xdr:sp macro="" textlink="">
      <xdr:nvSpPr>
        <xdr:cNvPr id="21" name="TextBox 20">
          <a:extLst>
            <a:ext uri="{FF2B5EF4-FFF2-40B4-BE49-F238E27FC236}">
              <a16:creationId xmlns:a16="http://schemas.microsoft.com/office/drawing/2014/main" id="{45CE1B9E-AF81-AD0E-33FF-49DE8419325D}"/>
            </a:ext>
          </a:extLst>
        </xdr:cNvPr>
        <xdr:cNvSpPr txBox="1"/>
      </xdr:nvSpPr>
      <xdr:spPr>
        <a:xfrm>
          <a:off x="4945380" y="1011697"/>
          <a:ext cx="1798320" cy="25769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100" b="1">
              <a:latin typeface="+mj-lt"/>
            </a:rPr>
            <a:t>SECTOR DISTRIBUTION</a:t>
          </a:r>
        </a:p>
      </xdr:txBody>
    </xdr:sp>
    <xdr:clientData/>
  </xdr:oneCellAnchor>
  <xdr:twoCellAnchor>
    <xdr:from>
      <xdr:col>0</xdr:col>
      <xdr:colOff>533400</xdr:colOff>
      <xdr:row>7</xdr:row>
      <xdr:rowOff>83820</xdr:rowOff>
    </xdr:from>
    <xdr:to>
      <xdr:col>1</xdr:col>
      <xdr:colOff>563880</xdr:colOff>
      <xdr:row>9</xdr:row>
      <xdr:rowOff>190500</xdr:rowOff>
    </xdr:to>
    <xdr:sp macro="" textlink="'Pivot Table'!$B$7">
      <xdr:nvSpPr>
        <xdr:cNvPr id="22" name="TextBox 21">
          <a:extLst>
            <a:ext uri="{FF2B5EF4-FFF2-40B4-BE49-F238E27FC236}">
              <a16:creationId xmlns:a16="http://schemas.microsoft.com/office/drawing/2014/main" id="{3CDF7C66-0ED8-3E87-BA62-217977186DDB}"/>
            </a:ext>
          </a:extLst>
        </xdr:cNvPr>
        <xdr:cNvSpPr txBox="1"/>
      </xdr:nvSpPr>
      <xdr:spPr>
        <a:xfrm>
          <a:off x="533400" y="1363980"/>
          <a:ext cx="6400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bIns="612000" rtlCol="0" anchor="t"/>
        <a:lstStyle/>
        <a:p>
          <a:pPr algn="l"/>
          <a:fld id="{60F2FD19-4764-4B63-80E9-E07B43F6734E}" type="TxLink">
            <a:rPr lang="en-US" sz="1800" b="1" i="0" u="none" strike="noStrike">
              <a:solidFill>
                <a:schemeClr val="tx2">
                  <a:lumMod val="60000"/>
                  <a:lumOff val="40000"/>
                </a:schemeClr>
              </a:solidFill>
              <a:latin typeface="Calibri"/>
              <a:ea typeface="Calibri"/>
              <a:cs typeface="Calibri"/>
            </a:rPr>
            <a:pPr algn="l"/>
            <a:t>200</a:t>
          </a:fld>
          <a:endParaRPr lang="en-IN" sz="1800" b="1">
            <a:solidFill>
              <a:schemeClr val="tx2">
                <a:lumMod val="60000"/>
                <a:lumOff val="40000"/>
              </a:schemeClr>
            </a:solidFill>
          </a:endParaRPr>
        </a:p>
      </xdr:txBody>
    </xdr:sp>
    <xdr:clientData/>
  </xdr:twoCellAnchor>
  <xdr:twoCellAnchor>
    <xdr:from>
      <xdr:col>5</xdr:col>
      <xdr:colOff>571500</xdr:colOff>
      <xdr:row>6</xdr:row>
      <xdr:rowOff>167640</xdr:rowOff>
    </xdr:from>
    <xdr:to>
      <xdr:col>6</xdr:col>
      <xdr:colOff>464820</xdr:colOff>
      <xdr:row>9</xdr:row>
      <xdr:rowOff>15240</xdr:rowOff>
    </xdr:to>
    <xdr:sp macro="" textlink="$I$12">
      <xdr:nvSpPr>
        <xdr:cNvPr id="23" name="TextBox 22">
          <a:extLst>
            <a:ext uri="{FF2B5EF4-FFF2-40B4-BE49-F238E27FC236}">
              <a16:creationId xmlns:a16="http://schemas.microsoft.com/office/drawing/2014/main" id="{00CA296B-0547-06B8-5306-D22CA58DBBDA}"/>
            </a:ext>
          </a:extLst>
        </xdr:cNvPr>
        <xdr:cNvSpPr txBox="1"/>
      </xdr:nvSpPr>
      <xdr:spPr>
        <a:xfrm>
          <a:off x="4221480" y="1264920"/>
          <a:ext cx="50292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323AF2-01F1-4F7E-8C86-36D1279AE973}" type="TxLink">
            <a:rPr lang="en-US" sz="1800" b="1" i="0" u="none" strike="noStrike">
              <a:solidFill>
                <a:schemeClr val="accent3"/>
              </a:solidFill>
              <a:latin typeface="Arial Narrow" panose="020B0606020202030204" pitchFamily="34" charset="0"/>
              <a:ea typeface="Calibri"/>
              <a:cs typeface="Calibri"/>
            </a:rPr>
            <a:pPr/>
            <a:t>107</a:t>
          </a:fld>
          <a:endParaRPr lang="en-IN" sz="1800" b="1">
            <a:solidFill>
              <a:schemeClr val="accent3"/>
            </a:solidFill>
            <a:latin typeface="Arial Narrow" panose="020B0606020202030204" pitchFamily="34" charset="0"/>
          </a:endParaRPr>
        </a:p>
      </xdr:txBody>
    </xdr:sp>
    <xdr:clientData/>
  </xdr:twoCellAnchor>
  <xdr:twoCellAnchor>
    <xdr:from>
      <xdr:col>9</xdr:col>
      <xdr:colOff>213360</xdr:colOff>
      <xdr:row>7</xdr:row>
      <xdr:rowOff>30480</xdr:rowOff>
    </xdr:from>
    <xdr:to>
      <xdr:col>10</xdr:col>
      <xdr:colOff>129540</xdr:colOff>
      <xdr:row>9</xdr:row>
      <xdr:rowOff>38100</xdr:rowOff>
    </xdr:to>
    <xdr:sp macro="" textlink="$J$12">
      <xdr:nvSpPr>
        <xdr:cNvPr id="24" name="TextBox 23">
          <a:extLst>
            <a:ext uri="{FF2B5EF4-FFF2-40B4-BE49-F238E27FC236}">
              <a16:creationId xmlns:a16="http://schemas.microsoft.com/office/drawing/2014/main" id="{696AE964-39BF-5D79-73BB-E624CD505A07}"/>
            </a:ext>
          </a:extLst>
        </xdr:cNvPr>
        <xdr:cNvSpPr txBox="1"/>
      </xdr:nvSpPr>
      <xdr:spPr>
        <a:xfrm>
          <a:off x="6301740" y="1310640"/>
          <a:ext cx="5257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28E88D-F1DB-48BE-8B44-980940E8B46B}" type="TxLink">
            <a:rPr lang="en-US" sz="1800" b="1" i="0" u="none" strike="noStrike">
              <a:solidFill>
                <a:schemeClr val="tx2">
                  <a:lumMod val="40000"/>
                  <a:lumOff val="60000"/>
                </a:schemeClr>
              </a:solidFill>
              <a:latin typeface="Calibri"/>
              <a:ea typeface="Calibri"/>
              <a:cs typeface="Calibri"/>
            </a:rPr>
            <a:pPr/>
            <a:t>93</a:t>
          </a:fld>
          <a:endParaRPr lang="en-IN" sz="1800" b="1">
            <a:solidFill>
              <a:schemeClr val="tx2">
                <a:lumMod val="40000"/>
                <a:lumOff val="60000"/>
              </a:schemeClr>
            </a:solidFill>
          </a:endParaRPr>
        </a:p>
      </xdr:txBody>
    </xdr:sp>
    <xdr:clientData/>
  </xdr:twoCellAnchor>
  <xdr:oneCellAnchor>
    <xdr:from>
      <xdr:col>15</xdr:col>
      <xdr:colOff>342900</xdr:colOff>
      <xdr:row>9</xdr:row>
      <xdr:rowOff>243840</xdr:rowOff>
    </xdr:from>
    <xdr:ext cx="899160" cy="744620"/>
    <xdr:sp macro="" textlink="">
      <xdr:nvSpPr>
        <xdr:cNvPr id="27" name="TextBox 26">
          <a:extLst>
            <a:ext uri="{FF2B5EF4-FFF2-40B4-BE49-F238E27FC236}">
              <a16:creationId xmlns:a16="http://schemas.microsoft.com/office/drawing/2014/main" id="{9AE299D9-B8E0-2F4C-91D9-0B1C21D22348}"/>
            </a:ext>
          </a:extLst>
        </xdr:cNvPr>
        <xdr:cNvSpPr txBox="1"/>
      </xdr:nvSpPr>
      <xdr:spPr>
        <a:xfrm>
          <a:off x="10088880" y="1889760"/>
          <a:ext cx="899160" cy="744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2</xdr:col>
      <xdr:colOff>533400</xdr:colOff>
      <xdr:row>5</xdr:row>
      <xdr:rowOff>76200</xdr:rowOff>
    </xdr:from>
    <xdr:to>
      <xdr:col>5</xdr:col>
      <xdr:colOff>434340</xdr:colOff>
      <xdr:row>10</xdr:row>
      <xdr:rowOff>0</xdr:rowOff>
    </xdr:to>
    <xdr:sp macro="" textlink="">
      <xdr:nvSpPr>
        <xdr:cNvPr id="29" name="Rectangle 28">
          <a:extLst>
            <a:ext uri="{FF2B5EF4-FFF2-40B4-BE49-F238E27FC236}">
              <a16:creationId xmlns:a16="http://schemas.microsoft.com/office/drawing/2014/main" id="{C112E670-2BCA-E8E9-2A9D-637869F5E93B}"/>
            </a:ext>
          </a:extLst>
        </xdr:cNvPr>
        <xdr:cNvSpPr/>
      </xdr:nvSpPr>
      <xdr:spPr>
        <a:xfrm>
          <a:off x="1752600" y="990600"/>
          <a:ext cx="2331720" cy="98298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1154.971429</a:t>
          </a:r>
        </a:p>
      </xdr:txBody>
    </xdr:sp>
    <xdr:clientData/>
  </xdr:twoCellAnchor>
  <xdr:twoCellAnchor>
    <xdr:from>
      <xdr:col>3</xdr:col>
      <xdr:colOff>129540</xdr:colOff>
      <xdr:row>5</xdr:row>
      <xdr:rowOff>114300</xdr:rowOff>
    </xdr:from>
    <xdr:to>
      <xdr:col>5</xdr:col>
      <xdr:colOff>495300</xdr:colOff>
      <xdr:row>7</xdr:row>
      <xdr:rowOff>15240</xdr:rowOff>
    </xdr:to>
    <xdr:sp macro="" textlink="">
      <xdr:nvSpPr>
        <xdr:cNvPr id="31" name="TextBox 30">
          <a:extLst>
            <a:ext uri="{FF2B5EF4-FFF2-40B4-BE49-F238E27FC236}">
              <a16:creationId xmlns:a16="http://schemas.microsoft.com/office/drawing/2014/main" id="{E05DD106-07DF-217E-A6F0-7E153F4FA9A5}"/>
            </a:ext>
          </a:extLst>
        </xdr:cNvPr>
        <xdr:cNvSpPr txBox="1"/>
      </xdr:nvSpPr>
      <xdr:spPr>
        <a:xfrm>
          <a:off x="1958340" y="1028700"/>
          <a:ext cx="21869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AVERAGE PRICE</a:t>
          </a:r>
          <a:r>
            <a:rPr lang="en-IN" sz="1100" b="1" baseline="0">
              <a:latin typeface="+mj-lt"/>
            </a:rPr>
            <a:t> (GLOBALLY)</a:t>
          </a:r>
          <a:endParaRPr lang="en-IN" sz="1100" b="1">
            <a:latin typeface="+mj-lt"/>
          </a:endParaRPr>
        </a:p>
      </xdr:txBody>
    </xdr:sp>
    <xdr:clientData/>
  </xdr:twoCellAnchor>
  <xdr:twoCellAnchor>
    <xdr:from>
      <xdr:col>3</xdr:col>
      <xdr:colOff>365760</xdr:colOff>
      <xdr:row>7</xdr:row>
      <xdr:rowOff>15240</xdr:rowOff>
    </xdr:from>
    <xdr:to>
      <xdr:col>5</xdr:col>
      <xdr:colOff>266700</xdr:colOff>
      <xdr:row>8</xdr:row>
      <xdr:rowOff>175260</xdr:rowOff>
    </xdr:to>
    <xdr:sp macro="" textlink="$D$10">
      <xdr:nvSpPr>
        <xdr:cNvPr id="7" name="Rectangle 6">
          <a:extLst>
            <a:ext uri="{FF2B5EF4-FFF2-40B4-BE49-F238E27FC236}">
              <a16:creationId xmlns:a16="http://schemas.microsoft.com/office/drawing/2014/main" id="{FBE3614E-06FA-A892-FC97-19D93EED132D}"/>
            </a:ext>
          </a:extLst>
        </xdr:cNvPr>
        <xdr:cNvSpPr/>
      </xdr:nvSpPr>
      <xdr:spPr>
        <a:xfrm>
          <a:off x="2194560" y="1295400"/>
          <a:ext cx="172212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0E2B784-455F-4C98-B1FC-26001ABB915B}" type="TxLink">
            <a:rPr lang="en-US" sz="1800" b="1" i="0" u="none" strike="noStrike">
              <a:solidFill>
                <a:schemeClr val="tx2">
                  <a:lumMod val="60000"/>
                  <a:lumOff val="40000"/>
                </a:schemeClr>
              </a:solidFill>
              <a:latin typeface="Calibri"/>
              <a:ea typeface="Calibri"/>
              <a:cs typeface="Calibri"/>
            </a:rPr>
            <a:pPr algn="l"/>
            <a:t>₹ 1,154.97</a:t>
          </a:fld>
          <a:endParaRPr lang="en-IN" sz="1800" b="1">
            <a:solidFill>
              <a:schemeClr val="tx2">
                <a:lumMod val="60000"/>
                <a:lumOff val="40000"/>
              </a:schemeClr>
            </a:solidFill>
          </a:endParaRPr>
        </a:p>
      </xdr:txBody>
    </xdr:sp>
    <xdr:clientData/>
  </xdr:twoCellAnchor>
  <xdr:twoCellAnchor>
    <xdr:from>
      <xdr:col>5</xdr:col>
      <xdr:colOff>533400</xdr:colOff>
      <xdr:row>9</xdr:row>
      <xdr:rowOff>15240</xdr:rowOff>
    </xdr:from>
    <xdr:to>
      <xdr:col>7</xdr:col>
      <xdr:colOff>411480</xdr:colOff>
      <xdr:row>9</xdr:row>
      <xdr:rowOff>205740</xdr:rowOff>
    </xdr:to>
    <xdr:sp macro="" textlink="">
      <xdr:nvSpPr>
        <xdr:cNvPr id="35" name="TextBox 34">
          <a:extLst>
            <a:ext uri="{FF2B5EF4-FFF2-40B4-BE49-F238E27FC236}">
              <a16:creationId xmlns:a16="http://schemas.microsoft.com/office/drawing/2014/main" id="{CD57974B-6B78-1078-269A-CC3A82E02F48}"/>
            </a:ext>
          </a:extLst>
        </xdr:cNvPr>
        <xdr:cNvSpPr txBox="1"/>
      </xdr:nvSpPr>
      <xdr:spPr>
        <a:xfrm>
          <a:off x="4183380" y="1661160"/>
          <a:ext cx="10972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j-lt"/>
            </a:rPr>
            <a:t>COMMERCIAL</a:t>
          </a:r>
        </a:p>
      </xdr:txBody>
    </xdr:sp>
    <xdr:clientData/>
  </xdr:twoCellAnchor>
  <xdr:twoCellAnchor>
    <xdr:from>
      <xdr:col>9</xdr:col>
      <xdr:colOff>182880</xdr:colOff>
      <xdr:row>9</xdr:row>
      <xdr:rowOff>60960</xdr:rowOff>
    </xdr:from>
    <xdr:to>
      <xdr:col>10</xdr:col>
      <xdr:colOff>472440</xdr:colOff>
      <xdr:row>9</xdr:row>
      <xdr:rowOff>228600</xdr:rowOff>
    </xdr:to>
    <xdr:sp macro="" textlink="">
      <xdr:nvSpPr>
        <xdr:cNvPr id="36" name="TextBox 35">
          <a:extLst>
            <a:ext uri="{FF2B5EF4-FFF2-40B4-BE49-F238E27FC236}">
              <a16:creationId xmlns:a16="http://schemas.microsoft.com/office/drawing/2014/main" id="{ACB73AD5-B0C0-A8F3-372E-781CD625884D}"/>
            </a:ext>
          </a:extLst>
        </xdr:cNvPr>
        <xdr:cNvSpPr txBox="1"/>
      </xdr:nvSpPr>
      <xdr:spPr>
        <a:xfrm>
          <a:off x="6271260" y="1706880"/>
          <a:ext cx="89916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mj-lt"/>
            </a:rPr>
            <a:t>DOMESTIC</a:t>
          </a:r>
        </a:p>
      </xdr:txBody>
    </xdr:sp>
    <xdr:clientData/>
  </xdr:twoCellAnchor>
  <xdr:twoCellAnchor>
    <xdr:from>
      <xdr:col>0</xdr:col>
      <xdr:colOff>144780</xdr:colOff>
      <xdr:row>8</xdr:row>
      <xdr:rowOff>167640</xdr:rowOff>
    </xdr:from>
    <xdr:to>
      <xdr:col>2</xdr:col>
      <xdr:colOff>419100</xdr:colOff>
      <xdr:row>9</xdr:row>
      <xdr:rowOff>266700</xdr:rowOff>
    </xdr:to>
    <xdr:sp macro="" textlink="">
      <xdr:nvSpPr>
        <xdr:cNvPr id="37" name="TextBox 36">
          <a:extLst>
            <a:ext uri="{FF2B5EF4-FFF2-40B4-BE49-F238E27FC236}">
              <a16:creationId xmlns:a16="http://schemas.microsoft.com/office/drawing/2014/main" id="{63C58E0F-9703-DA30-E7F4-3909E03CD019}"/>
            </a:ext>
          </a:extLst>
        </xdr:cNvPr>
        <xdr:cNvSpPr txBox="1"/>
      </xdr:nvSpPr>
      <xdr:spPr>
        <a:xfrm>
          <a:off x="144780" y="1630680"/>
          <a:ext cx="14935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mj-lt"/>
            </a:rPr>
            <a:t>TOTAL SHIPMENTS</a:t>
          </a:r>
          <a:endParaRPr lang="en-IN" sz="1100">
            <a:latin typeface="+mj-lt"/>
          </a:endParaRPr>
        </a:p>
      </xdr:txBody>
    </xdr:sp>
    <xdr:clientData/>
  </xdr:twoCellAnchor>
  <xdr:twoCellAnchor>
    <xdr:from>
      <xdr:col>3</xdr:col>
      <xdr:colOff>342900</xdr:colOff>
      <xdr:row>9</xdr:row>
      <xdr:rowOff>7620</xdr:rowOff>
    </xdr:from>
    <xdr:to>
      <xdr:col>5</xdr:col>
      <xdr:colOff>106680</xdr:colOff>
      <xdr:row>9</xdr:row>
      <xdr:rowOff>266700</xdr:rowOff>
    </xdr:to>
    <xdr:sp macro="" textlink="">
      <xdr:nvSpPr>
        <xdr:cNvPr id="38" name="TextBox 37">
          <a:extLst>
            <a:ext uri="{FF2B5EF4-FFF2-40B4-BE49-F238E27FC236}">
              <a16:creationId xmlns:a16="http://schemas.microsoft.com/office/drawing/2014/main" id="{1AB2B614-D8BE-C459-4A5B-2A8A0F532DF2}"/>
            </a:ext>
          </a:extLst>
        </xdr:cNvPr>
        <xdr:cNvSpPr txBox="1"/>
      </xdr:nvSpPr>
      <xdr:spPr>
        <a:xfrm>
          <a:off x="2171700" y="1653540"/>
          <a:ext cx="1584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mj-lt"/>
            </a:rPr>
            <a:t>MARKET RATE</a:t>
          </a:r>
          <a:endParaRPr lang="en-IN" sz="1100">
            <a:latin typeface="+mj-lt"/>
          </a:endParaRPr>
        </a:p>
      </xdr:txBody>
    </xdr:sp>
    <xdr:clientData/>
  </xdr:twoCellAnchor>
  <xdr:twoCellAnchor>
    <xdr:from>
      <xdr:col>7</xdr:col>
      <xdr:colOff>99060</xdr:colOff>
      <xdr:row>10</xdr:row>
      <xdr:rowOff>144780</xdr:rowOff>
    </xdr:from>
    <xdr:to>
      <xdr:col>12</xdr:col>
      <xdr:colOff>22860</xdr:colOff>
      <xdr:row>25</xdr:row>
      <xdr:rowOff>60960</xdr:rowOff>
    </xdr:to>
    <xdr:sp macro="" textlink="">
      <xdr:nvSpPr>
        <xdr:cNvPr id="39" name="Rectangle 38">
          <a:extLst>
            <a:ext uri="{FF2B5EF4-FFF2-40B4-BE49-F238E27FC236}">
              <a16:creationId xmlns:a16="http://schemas.microsoft.com/office/drawing/2014/main" id="{4B48B94F-237E-F464-4267-15EE908161E2}"/>
            </a:ext>
          </a:extLst>
        </xdr:cNvPr>
        <xdr:cNvSpPr/>
      </xdr:nvSpPr>
      <xdr:spPr>
        <a:xfrm>
          <a:off x="4968240" y="2118360"/>
          <a:ext cx="2971800" cy="26593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10</xdr:row>
      <xdr:rowOff>121920</xdr:rowOff>
    </xdr:from>
    <xdr:to>
      <xdr:col>7</xdr:col>
      <xdr:colOff>15240</xdr:colOff>
      <xdr:row>25</xdr:row>
      <xdr:rowOff>22860</xdr:rowOff>
    </xdr:to>
    <xdr:sp macro="" textlink="">
      <xdr:nvSpPr>
        <xdr:cNvPr id="40" name="Rectangle 39">
          <a:extLst>
            <a:ext uri="{FF2B5EF4-FFF2-40B4-BE49-F238E27FC236}">
              <a16:creationId xmlns:a16="http://schemas.microsoft.com/office/drawing/2014/main" id="{5E350E73-8BF6-0BB6-2FD6-029E924FEE95}"/>
            </a:ext>
          </a:extLst>
        </xdr:cNvPr>
        <xdr:cNvSpPr/>
      </xdr:nvSpPr>
      <xdr:spPr>
        <a:xfrm>
          <a:off x="45720" y="2095500"/>
          <a:ext cx="4838700" cy="26441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10</xdr:row>
      <xdr:rowOff>121920</xdr:rowOff>
    </xdr:from>
    <xdr:to>
      <xdr:col>17</xdr:col>
      <xdr:colOff>15240</xdr:colOff>
      <xdr:row>25</xdr:row>
      <xdr:rowOff>76200</xdr:rowOff>
    </xdr:to>
    <xdr:sp macro="" textlink="">
      <xdr:nvSpPr>
        <xdr:cNvPr id="41" name="Rectangle 40">
          <a:extLst>
            <a:ext uri="{FF2B5EF4-FFF2-40B4-BE49-F238E27FC236}">
              <a16:creationId xmlns:a16="http://schemas.microsoft.com/office/drawing/2014/main" id="{F4511E58-CD6E-F12C-2ACF-DE52ECB7369A}"/>
            </a:ext>
          </a:extLst>
        </xdr:cNvPr>
        <xdr:cNvSpPr/>
      </xdr:nvSpPr>
      <xdr:spPr>
        <a:xfrm>
          <a:off x="8008620" y="2095500"/>
          <a:ext cx="2971800" cy="26974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137160</xdr:colOff>
      <xdr:row>11</xdr:row>
      <xdr:rowOff>1</xdr:rowOff>
    </xdr:from>
    <xdr:to>
      <xdr:col>11</xdr:col>
      <xdr:colOff>571500</xdr:colOff>
      <xdr:row>24</xdr:row>
      <xdr:rowOff>144781</xdr:rowOff>
    </xdr:to>
    <xdr:graphicFrame macro="">
      <xdr:nvGraphicFramePr>
        <xdr:cNvPr id="42" name="Chart 41">
          <a:extLst>
            <a:ext uri="{FF2B5EF4-FFF2-40B4-BE49-F238E27FC236}">
              <a16:creationId xmlns:a16="http://schemas.microsoft.com/office/drawing/2014/main" id="{A1B5D7A6-6F25-44CD-AD47-F8901119F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10</xdr:row>
      <xdr:rowOff>160020</xdr:rowOff>
    </xdr:from>
    <xdr:to>
      <xdr:col>6</xdr:col>
      <xdr:colOff>563880</xdr:colOff>
      <xdr:row>24</xdr:row>
      <xdr:rowOff>144780</xdr:rowOff>
    </xdr:to>
    <xdr:graphicFrame macro="">
      <xdr:nvGraphicFramePr>
        <xdr:cNvPr id="43" name="Chart 42">
          <a:extLst>
            <a:ext uri="{FF2B5EF4-FFF2-40B4-BE49-F238E27FC236}">
              <a16:creationId xmlns:a16="http://schemas.microsoft.com/office/drawing/2014/main" id="{C5A62503-6BAC-4824-B046-E201002FA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10</xdr:row>
      <xdr:rowOff>152400</xdr:rowOff>
    </xdr:from>
    <xdr:to>
      <xdr:col>16</xdr:col>
      <xdr:colOff>601980</xdr:colOff>
      <xdr:row>25</xdr:row>
      <xdr:rowOff>30480</xdr:rowOff>
    </xdr:to>
    <xdr:graphicFrame macro="">
      <xdr:nvGraphicFramePr>
        <xdr:cNvPr id="44" name="Chart 43">
          <a:extLst>
            <a:ext uri="{FF2B5EF4-FFF2-40B4-BE49-F238E27FC236}">
              <a16:creationId xmlns:a16="http://schemas.microsoft.com/office/drawing/2014/main" id="{73A368FF-1ADC-41F6-82AA-917B64ED0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464820</xdr:colOff>
      <xdr:row>25</xdr:row>
      <xdr:rowOff>22860</xdr:rowOff>
    </xdr:from>
    <xdr:to>
      <xdr:col>23</xdr:col>
      <xdr:colOff>144780</xdr:colOff>
      <xdr:row>25</xdr:row>
      <xdr:rowOff>137160</xdr:rowOff>
    </xdr:to>
    <xdr:sp macro="" textlink="">
      <xdr:nvSpPr>
        <xdr:cNvPr id="45" name="TextBox 44">
          <a:extLst>
            <a:ext uri="{FF2B5EF4-FFF2-40B4-BE49-F238E27FC236}">
              <a16:creationId xmlns:a16="http://schemas.microsoft.com/office/drawing/2014/main" id="{87C7FFFF-72D6-F64F-FF06-C64F98DCB325}"/>
            </a:ext>
          </a:extLst>
        </xdr:cNvPr>
        <xdr:cNvSpPr txBox="1"/>
      </xdr:nvSpPr>
      <xdr:spPr>
        <a:xfrm>
          <a:off x="14478000" y="4739640"/>
          <a:ext cx="289560" cy="11430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106680</xdr:colOff>
      <xdr:row>10</xdr:row>
      <xdr:rowOff>129540</xdr:rowOff>
    </xdr:from>
    <xdr:to>
      <xdr:col>22</xdr:col>
      <xdr:colOff>259080</xdr:colOff>
      <xdr:row>25</xdr:row>
      <xdr:rowOff>137160</xdr:rowOff>
    </xdr:to>
    <xdr:graphicFrame macro="">
      <xdr:nvGraphicFramePr>
        <xdr:cNvPr id="46" name="Chart 45">
          <a:extLst>
            <a:ext uri="{FF2B5EF4-FFF2-40B4-BE49-F238E27FC236}">
              <a16:creationId xmlns:a16="http://schemas.microsoft.com/office/drawing/2014/main" id="{3C3813B7-D1F4-43FB-9ED5-9B40E1358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99060</xdr:colOff>
      <xdr:row>10</xdr:row>
      <xdr:rowOff>114300</xdr:rowOff>
    </xdr:from>
    <xdr:to>
      <xdr:col>22</xdr:col>
      <xdr:colOff>259080</xdr:colOff>
      <xdr:row>25</xdr:row>
      <xdr:rowOff>99060</xdr:rowOff>
    </xdr:to>
    <xdr:sp macro="" textlink="">
      <xdr:nvSpPr>
        <xdr:cNvPr id="2" name="Rectangle 1">
          <a:extLst>
            <a:ext uri="{FF2B5EF4-FFF2-40B4-BE49-F238E27FC236}">
              <a16:creationId xmlns:a16="http://schemas.microsoft.com/office/drawing/2014/main" id="{36FA3DD0-1797-6880-3676-3D6C6197B256}"/>
            </a:ext>
          </a:extLst>
        </xdr:cNvPr>
        <xdr:cNvSpPr/>
      </xdr:nvSpPr>
      <xdr:spPr>
        <a:xfrm>
          <a:off x="11064240" y="2087880"/>
          <a:ext cx="3208020" cy="27279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426720</xdr:colOff>
      <xdr:row>5</xdr:row>
      <xdr:rowOff>68580</xdr:rowOff>
    </xdr:from>
    <xdr:to>
      <xdr:col>14</xdr:col>
      <xdr:colOff>238440</xdr:colOff>
      <xdr:row>10</xdr:row>
      <xdr:rowOff>0</xdr:rowOff>
    </xdr:to>
    <mc:AlternateContent xmlns:mc="http://schemas.openxmlformats.org/markup-compatibility/2006" xmlns:a14="http://schemas.microsoft.com/office/drawing/2010/main">
      <mc:Choice Requires="a14">
        <xdr:graphicFrame macro="">
          <xdr:nvGraphicFramePr>
            <xdr:cNvPr id="5" name="Supply Level 2">
              <a:extLst>
                <a:ext uri="{FF2B5EF4-FFF2-40B4-BE49-F238E27FC236}">
                  <a16:creationId xmlns:a16="http://schemas.microsoft.com/office/drawing/2014/main" id="{80154A8F-25CA-4F73-9E94-EED0CAFE8371}"/>
                </a:ext>
              </a:extLst>
            </xdr:cNvPr>
            <xdr:cNvGraphicFramePr/>
          </xdr:nvGraphicFramePr>
          <xdr:xfrm>
            <a:off x="0" y="0"/>
            <a:ext cx="0" cy="0"/>
          </xdr:xfrm>
          <a:graphic>
            <a:graphicData uri="http://schemas.microsoft.com/office/drawing/2010/slicer">
              <sle:slicer xmlns:sle="http://schemas.microsoft.com/office/drawing/2010/slicer" name="Supply Level 2"/>
            </a:graphicData>
          </a:graphic>
        </xdr:graphicFrame>
      </mc:Choice>
      <mc:Fallback xmlns="">
        <xdr:sp macro="" textlink="">
          <xdr:nvSpPr>
            <xdr:cNvPr id="0" name=""/>
            <xdr:cNvSpPr>
              <a:spLocks noTextEdit="1"/>
            </xdr:cNvSpPr>
          </xdr:nvSpPr>
          <xdr:spPr>
            <a:xfrm>
              <a:off x="7124700" y="982980"/>
              <a:ext cx="225012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5</xdr:row>
      <xdr:rowOff>53340</xdr:rowOff>
    </xdr:from>
    <xdr:to>
      <xdr:col>18</xdr:col>
      <xdr:colOff>340140</xdr:colOff>
      <xdr:row>10</xdr:row>
      <xdr:rowOff>0</xdr:rowOff>
    </xdr:to>
    <mc:AlternateContent xmlns:mc="http://schemas.openxmlformats.org/markup-compatibility/2006" xmlns:a14="http://schemas.microsoft.com/office/drawing/2010/main">
      <mc:Choice Requires="a14">
        <xdr:graphicFrame macro="">
          <xdr:nvGraphicFramePr>
            <xdr:cNvPr id="8" name="Import Source 2">
              <a:extLst>
                <a:ext uri="{FF2B5EF4-FFF2-40B4-BE49-F238E27FC236}">
                  <a16:creationId xmlns:a16="http://schemas.microsoft.com/office/drawing/2014/main" id="{B45DA961-2D7E-4B6B-BEF5-C396D95268A2}"/>
                </a:ext>
              </a:extLst>
            </xdr:cNvPr>
            <xdr:cNvGraphicFramePr/>
          </xdr:nvGraphicFramePr>
          <xdr:xfrm>
            <a:off x="0" y="0"/>
            <a:ext cx="0" cy="0"/>
          </xdr:xfrm>
          <a:graphic>
            <a:graphicData uri="http://schemas.microsoft.com/office/drawing/2010/slicer">
              <sle:slicer xmlns:sle="http://schemas.microsoft.com/office/drawing/2010/slicer" name="Import Source 2"/>
            </a:graphicData>
          </a:graphic>
        </xdr:graphicFrame>
      </mc:Choice>
      <mc:Fallback xmlns="">
        <xdr:sp macro="" textlink="">
          <xdr:nvSpPr>
            <xdr:cNvPr id="0" name=""/>
            <xdr:cNvSpPr>
              <a:spLocks noTextEdit="1"/>
            </xdr:cNvSpPr>
          </xdr:nvSpPr>
          <xdr:spPr>
            <a:xfrm>
              <a:off x="9418320" y="967740"/>
              <a:ext cx="24966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5</xdr:row>
      <xdr:rowOff>60961</xdr:rowOff>
    </xdr:from>
    <xdr:to>
      <xdr:col>22</xdr:col>
      <xdr:colOff>282600</xdr:colOff>
      <xdr:row>10</xdr:row>
      <xdr:rowOff>9781</xdr:rowOff>
    </xdr:to>
    <mc:AlternateContent xmlns:mc="http://schemas.openxmlformats.org/markup-compatibility/2006" xmlns:a14="http://schemas.microsoft.com/office/drawing/2010/main">
      <mc:Choice Requires="a14">
        <xdr:graphicFrame macro="">
          <xdr:nvGraphicFramePr>
            <xdr:cNvPr id="11" name="Date 2">
              <a:extLst>
                <a:ext uri="{FF2B5EF4-FFF2-40B4-BE49-F238E27FC236}">
                  <a16:creationId xmlns:a16="http://schemas.microsoft.com/office/drawing/2014/main" id="{97D49FD6-814B-45EE-BBBB-6BE5D4621D1F}"/>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1955780" y="975361"/>
              <a:ext cx="2340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342900</xdr:colOff>
      <xdr:row>5</xdr:row>
      <xdr:rowOff>53340</xdr:rowOff>
    </xdr:from>
    <xdr:to>
      <xdr:col>26</xdr:col>
      <xdr:colOff>243840</xdr:colOff>
      <xdr:row>10</xdr:row>
      <xdr:rowOff>22860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2BCAD325-A747-49A7-9422-186A9A59BD7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356080" y="967740"/>
              <a:ext cx="233934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5</xdr:row>
      <xdr:rowOff>99060</xdr:rowOff>
    </xdr:from>
    <xdr:to>
      <xdr:col>2</xdr:col>
      <xdr:colOff>579120</xdr:colOff>
      <xdr:row>7</xdr:row>
      <xdr:rowOff>76200</xdr:rowOff>
    </xdr:to>
    <xdr:sp macro="" textlink="">
      <xdr:nvSpPr>
        <xdr:cNvPr id="13" name="TextBox 12">
          <a:extLst>
            <a:ext uri="{FF2B5EF4-FFF2-40B4-BE49-F238E27FC236}">
              <a16:creationId xmlns:a16="http://schemas.microsoft.com/office/drawing/2014/main" id="{D2883F1E-453B-5B23-4762-772D7EEF3BA7}"/>
            </a:ext>
          </a:extLst>
        </xdr:cNvPr>
        <xdr:cNvSpPr txBox="1"/>
      </xdr:nvSpPr>
      <xdr:spPr>
        <a:xfrm>
          <a:off x="198120" y="1013460"/>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COUNT</a:t>
          </a:r>
          <a:r>
            <a:rPr lang="en-IN" sz="1100" b="1" baseline="0">
              <a:latin typeface="+mj-lt"/>
            </a:rPr>
            <a:t> OF SUPPLY</a:t>
          </a:r>
          <a:endParaRPr lang="en-IN" sz="1100" b="1">
            <a:latin typeface="+mj-lt"/>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ETHALAL GADA" id="{F83A9063-4AE3-4AF3-9B3A-67DAA00B9BF0}" userId="c62685a5b920162e"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THALAL GADA" refreshedDate="46117.639981828703" createdVersion="8" refreshedVersion="8" minRefreshableVersion="3" recordCount="200" xr:uid="{8B31C97E-D8F9-4995-87F5-E2A64256B5D7}">
  <cacheSource type="worksheet">
    <worksheetSource ref="A1:F201" sheet="LPG Dataset 2026"/>
  </cacheSource>
  <cacheFields count="6">
    <cacheField name="Date" numFmtId="0">
      <sharedItems count="3">
        <s v="Jan-2026"/>
        <s v="Feb-2026"/>
        <s v="Mar-2026"/>
      </sharedItems>
    </cacheField>
    <cacheField name="Region" numFmtId="0">
      <sharedItems count="6">
        <s v="Kolkata"/>
        <s v="Chennai"/>
        <s v="Patna"/>
        <s v="Mumbai"/>
        <s v="Delhi"/>
        <s v="Jan-2027" u="1"/>
      </sharedItems>
    </cacheField>
    <cacheField name="Cylinder Type" numFmtId="0">
      <sharedItems count="3">
        <s v="Domestic"/>
        <s v="Commercial"/>
        <s v="Jan-2028" u="1"/>
      </sharedItems>
    </cacheField>
    <cacheField name="Price (₹)" numFmtId="0">
      <sharedItems containsSemiMixedTypes="0" containsString="0" containsNumber="1" containsInteger="1" minValue="850" maxValue="1398"/>
    </cacheField>
    <cacheField name="Import Source" numFmtId="0">
      <sharedItems count="3">
        <s v="USA"/>
        <s v="Argentina"/>
        <s v="Qatar"/>
      </sharedItems>
    </cacheField>
    <cacheField name="Supply Level" numFmtId="0">
      <sharedItems count="3">
        <s v="Shortage"/>
        <s v="Normal"/>
        <s v="Delayed"/>
      </sharedItems>
    </cacheField>
  </cacheFields>
  <extLst>
    <ext xmlns:x14="http://schemas.microsoft.com/office/spreadsheetml/2009/9/main" uri="{725AE2AE-9491-48be-B2B4-4EB974FC3084}">
      <x14:pivotCacheDefinition pivotCacheId="762935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965"/>
    <x v="0"/>
    <x v="0"/>
  </r>
  <r>
    <x v="0"/>
    <x v="1"/>
    <x v="1"/>
    <n v="1341"/>
    <x v="1"/>
    <x v="1"/>
  </r>
  <r>
    <x v="0"/>
    <x v="1"/>
    <x v="0"/>
    <n v="1100"/>
    <x v="2"/>
    <x v="2"/>
  </r>
  <r>
    <x v="0"/>
    <x v="2"/>
    <x v="1"/>
    <n v="1134"/>
    <x v="0"/>
    <x v="1"/>
  </r>
  <r>
    <x v="0"/>
    <x v="0"/>
    <x v="1"/>
    <n v="966"/>
    <x v="0"/>
    <x v="2"/>
  </r>
  <r>
    <x v="0"/>
    <x v="2"/>
    <x v="1"/>
    <n v="1193"/>
    <x v="1"/>
    <x v="1"/>
  </r>
  <r>
    <x v="0"/>
    <x v="3"/>
    <x v="0"/>
    <n v="1084"/>
    <x v="2"/>
    <x v="1"/>
  </r>
  <r>
    <x v="0"/>
    <x v="1"/>
    <x v="1"/>
    <n v="863"/>
    <x v="2"/>
    <x v="1"/>
  </r>
  <r>
    <x v="0"/>
    <x v="0"/>
    <x v="1"/>
    <n v="1261"/>
    <x v="2"/>
    <x v="1"/>
  </r>
  <r>
    <x v="0"/>
    <x v="1"/>
    <x v="0"/>
    <n v="1290"/>
    <x v="1"/>
    <x v="2"/>
  </r>
  <r>
    <x v="0"/>
    <x v="1"/>
    <x v="0"/>
    <n v="954"/>
    <x v="0"/>
    <x v="1"/>
  </r>
  <r>
    <x v="0"/>
    <x v="3"/>
    <x v="0"/>
    <n v="1394"/>
    <x v="2"/>
    <x v="0"/>
  </r>
  <r>
    <x v="0"/>
    <x v="3"/>
    <x v="0"/>
    <n v="973"/>
    <x v="1"/>
    <x v="2"/>
  </r>
  <r>
    <x v="0"/>
    <x v="2"/>
    <x v="1"/>
    <n v="1276"/>
    <x v="2"/>
    <x v="1"/>
  </r>
  <r>
    <x v="0"/>
    <x v="4"/>
    <x v="1"/>
    <n v="900"/>
    <x v="1"/>
    <x v="1"/>
  </r>
  <r>
    <x v="0"/>
    <x v="3"/>
    <x v="1"/>
    <n v="986"/>
    <x v="0"/>
    <x v="1"/>
  </r>
  <r>
    <x v="0"/>
    <x v="4"/>
    <x v="1"/>
    <n v="911"/>
    <x v="2"/>
    <x v="1"/>
  </r>
  <r>
    <x v="0"/>
    <x v="0"/>
    <x v="0"/>
    <n v="1300"/>
    <x v="0"/>
    <x v="1"/>
  </r>
  <r>
    <x v="0"/>
    <x v="1"/>
    <x v="0"/>
    <n v="1264"/>
    <x v="0"/>
    <x v="2"/>
  </r>
  <r>
    <x v="0"/>
    <x v="4"/>
    <x v="0"/>
    <n v="942"/>
    <x v="2"/>
    <x v="2"/>
  </r>
  <r>
    <x v="0"/>
    <x v="4"/>
    <x v="0"/>
    <n v="1079"/>
    <x v="0"/>
    <x v="1"/>
  </r>
  <r>
    <x v="0"/>
    <x v="0"/>
    <x v="1"/>
    <n v="1093"/>
    <x v="2"/>
    <x v="1"/>
  </r>
  <r>
    <x v="0"/>
    <x v="4"/>
    <x v="0"/>
    <n v="1326"/>
    <x v="0"/>
    <x v="1"/>
  </r>
  <r>
    <x v="0"/>
    <x v="3"/>
    <x v="0"/>
    <n v="1076"/>
    <x v="1"/>
    <x v="1"/>
  </r>
  <r>
    <x v="0"/>
    <x v="2"/>
    <x v="1"/>
    <n v="1355"/>
    <x v="2"/>
    <x v="1"/>
  </r>
  <r>
    <x v="0"/>
    <x v="2"/>
    <x v="1"/>
    <n v="1340"/>
    <x v="2"/>
    <x v="2"/>
  </r>
  <r>
    <x v="0"/>
    <x v="0"/>
    <x v="1"/>
    <n v="1293"/>
    <x v="2"/>
    <x v="1"/>
  </r>
  <r>
    <x v="0"/>
    <x v="4"/>
    <x v="0"/>
    <n v="1398"/>
    <x v="0"/>
    <x v="1"/>
  </r>
  <r>
    <x v="0"/>
    <x v="1"/>
    <x v="1"/>
    <n v="1016"/>
    <x v="1"/>
    <x v="1"/>
  </r>
  <r>
    <x v="0"/>
    <x v="3"/>
    <x v="1"/>
    <n v="1285"/>
    <x v="2"/>
    <x v="0"/>
  </r>
  <r>
    <x v="0"/>
    <x v="1"/>
    <x v="0"/>
    <n v="1007"/>
    <x v="2"/>
    <x v="0"/>
  </r>
  <r>
    <x v="1"/>
    <x v="3"/>
    <x v="0"/>
    <n v="1355"/>
    <x v="2"/>
    <x v="2"/>
  </r>
  <r>
    <x v="1"/>
    <x v="1"/>
    <x v="1"/>
    <n v="974"/>
    <x v="2"/>
    <x v="1"/>
  </r>
  <r>
    <x v="1"/>
    <x v="4"/>
    <x v="1"/>
    <n v="956"/>
    <x v="0"/>
    <x v="1"/>
  </r>
  <r>
    <x v="1"/>
    <x v="2"/>
    <x v="1"/>
    <n v="1248"/>
    <x v="1"/>
    <x v="1"/>
  </r>
  <r>
    <x v="1"/>
    <x v="4"/>
    <x v="0"/>
    <n v="1382"/>
    <x v="0"/>
    <x v="1"/>
  </r>
  <r>
    <x v="1"/>
    <x v="0"/>
    <x v="1"/>
    <n v="1119"/>
    <x v="2"/>
    <x v="1"/>
  </r>
  <r>
    <x v="1"/>
    <x v="4"/>
    <x v="1"/>
    <n v="888"/>
    <x v="0"/>
    <x v="2"/>
  </r>
  <r>
    <x v="1"/>
    <x v="2"/>
    <x v="0"/>
    <n v="1199"/>
    <x v="1"/>
    <x v="1"/>
  </r>
  <r>
    <x v="1"/>
    <x v="0"/>
    <x v="1"/>
    <n v="1374"/>
    <x v="1"/>
    <x v="1"/>
  </r>
  <r>
    <x v="1"/>
    <x v="2"/>
    <x v="1"/>
    <n v="1353"/>
    <x v="1"/>
    <x v="2"/>
  </r>
  <r>
    <x v="1"/>
    <x v="2"/>
    <x v="1"/>
    <n v="1272"/>
    <x v="0"/>
    <x v="1"/>
  </r>
  <r>
    <x v="1"/>
    <x v="4"/>
    <x v="1"/>
    <n v="1004"/>
    <x v="0"/>
    <x v="2"/>
  </r>
  <r>
    <x v="1"/>
    <x v="1"/>
    <x v="1"/>
    <n v="1328"/>
    <x v="1"/>
    <x v="1"/>
  </r>
  <r>
    <x v="1"/>
    <x v="2"/>
    <x v="0"/>
    <n v="1135"/>
    <x v="2"/>
    <x v="1"/>
  </r>
  <r>
    <x v="1"/>
    <x v="3"/>
    <x v="0"/>
    <n v="1328"/>
    <x v="1"/>
    <x v="1"/>
  </r>
  <r>
    <x v="1"/>
    <x v="0"/>
    <x v="0"/>
    <n v="1245"/>
    <x v="0"/>
    <x v="1"/>
  </r>
  <r>
    <x v="1"/>
    <x v="3"/>
    <x v="0"/>
    <n v="850"/>
    <x v="0"/>
    <x v="1"/>
  </r>
  <r>
    <x v="1"/>
    <x v="3"/>
    <x v="0"/>
    <n v="1187"/>
    <x v="0"/>
    <x v="1"/>
  </r>
  <r>
    <x v="1"/>
    <x v="3"/>
    <x v="0"/>
    <n v="1239"/>
    <x v="0"/>
    <x v="2"/>
  </r>
  <r>
    <x v="1"/>
    <x v="4"/>
    <x v="1"/>
    <n v="1303"/>
    <x v="0"/>
    <x v="0"/>
  </r>
  <r>
    <x v="1"/>
    <x v="2"/>
    <x v="1"/>
    <n v="1348"/>
    <x v="2"/>
    <x v="2"/>
  </r>
  <r>
    <x v="1"/>
    <x v="2"/>
    <x v="1"/>
    <n v="1245"/>
    <x v="0"/>
    <x v="2"/>
  </r>
  <r>
    <x v="1"/>
    <x v="1"/>
    <x v="0"/>
    <n v="1132"/>
    <x v="0"/>
    <x v="1"/>
  </r>
  <r>
    <x v="1"/>
    <x v="0"/>
    <x v="0"/>
    <n v="885"/>
    <x v="1"/>
    <x v="1"/>
  </r>
  <r>
    <x v="1"/>
    <x v="0"/>
    <x v="0"/>
    <n v="1138"/>
    <x v="1"/>
    <x v="2"/>
  </r>
  <r>
    <x v="1"/>
    <x v="0"/>
    <x v="1"/>
    <n v="1030"/>
    <x v="1"/>
    <x v="1"/>
  </r>
  <r>
    <x v="1"/>
    <x v="2"/>
    <x v="1"/>
    <n v="862"/>
    <x v="2"/>
    <x v="1"/>
  </r>
  <r>
    <x v="1"/>
    <x v="0"/>
    <x v="0"/>
    <n v="1005"/>
    <x v="2"/>
    <x v="1"/>
  </r>
  <r>
    <x v="2"/>
    <x v="0"/>
    <x v="1"/>
    <n v="1061"/>
    <x v="0"/>
    <x v="2"/>
  </r>
  <r>
    <x v="2"/>
    <x v="0"/>
    <x v="1"/>
    <n v="1287"/>
    <x v="0"/>
    <x v="2"/>
  </r>
  <r>
    <x v="2"/>
    <x v="0"/>
    <x v="0"/>
    <n v="1023"/>
    <x v="1"/>
    <x v="2"/>
  </r>
  <r>
    <x v="2"/>
    <x v="4"/>
    <x v="0"/>
    <n v="1271"/>
    <x v="1"/>
    <x v="1"/>
  </r>
  <r>
    <x v="2"/>
    <x v="1"/>
    <x v="0"/>
    <n v="992"/>
    <x v="2"/>
    <x v="1"/>
  </r>
  <r>
    <x v="2"/>
    <x v="3"/>
    <x v="1"/>
    <n v="1062"/>
    <x v="0"/>
    <x v="2"/>
  </r>
  <r>
    <x v="2"/>
    <x v="4"/>
    <x v="1"/>
    <n v="1292"/>
    <x v="0"/>
    <x v="1"/>
  </r>
  <r>
    <x v="2"/>
    <x v="4"/>
    <x v="0"/>
    <n v="1154"/>
    <x v="0"/>
    <x v="1"/>
  </r>
  <r>
    <x v="2"/>
    <x v="4"/>
    <x v="1"/>
    <n v="1218"/>
    <x v="2"/>
    <x v="1"/>
  </r>
  <r>
    <x v="2"/>
    <x v="1"/>
    <x v="1"/>
    <n v="1146"/>
    <x v="1"/>
    <x v="2"/>
  </r>
  <r>
    <x v="2"/>
    <x v="3"/>
    <x v="0"/>
    <n v="1021"/>
    <x v="1"/>
    <x v="1"/>
  </r>
  <r>
    <x v="2"/>
    <x v="3"/>
    <x v="0"/>
    <n v="1117"/>
    <x v="2"/>
    <x v="1"/>
  </r>
  <r>
    <x v="2"/>
    <x v="3"/>
    <x v="0"/>
    <n v="1325"/>
    <x v="2"/>
    <x v="1"/>
  </r>
  <r>
    <x v="2"/>
    <x v="2"/>
    <x v="1"/>
    <n v="1223"/>
    <x v="1"/>
    <x v="0"/>
  </r>
  <r>
    <x v="2"/>
    <x v="0"/>
    <x v="0"/>
    <n v="1370"/>
    <x v="1"/>
    <x v="1"/>
  </r>
  <r>
    <x v="2"/>
    <x v="0"/>
    <x v="0"/>
    <n v="1177"/>
    <x v="1"/>
    <x v="1"/>
  </r>
  <r>
    <x v="2"/>
    <x v="0"/>
    <x v="1"/>
    <n v="871"/>
    <x v="0"/>
    <x v="2"/>
  </r>
  <r>
    <x v="2"/>
    <x v="1"/>
    <x v="1"/>
    <n v="948"/>
    <x v="1"/>
    <x v="0"/>
  </r>
  <r>
    <x v="2"/>
    <x v="1"/>
    <x v="1"/>
    <n v="1116"/>
    <x v="2"/>
    <x v="1"/>
  </r>
  <r>
    <x v="2"/>
    <x v="4"/>
    <x v="0"/>
    <n v="1095"/>
    <x v="2"/>
    <x v="1"/>
  </r>
  <r>
    <x v="2"/>
    <x v="3"/>
    <x v="1"/>
    <n v="1064"/>
    <x v="1"/>
    <x v="1"/>
  </r>
  <r>
    <x v="2"/>
    <x v="0"/>
    <x v="0"/>
    <n v="1203"/>
    <x v="0"/>
    <x v="1"/>
  </r>
  <r>
    <x v="2"/>
    <x v="4"/>
    <x v="0"/>
    <n v="1205"/>
    <x v="1"/>
    <x v="1"/>
  </r>
  <r>
    <x v="2"/>
    <x v="4"/>
    <x v="1"/>
    <n v="1261"/>
    <x v="2"/>
    <x v="2"/>
  </r>
  <r>
    <x v="2"/>
    <x v="3"/>
    <x v="0"/>
    <n v="1255"/>
    <x v="0"/>
    <x v="2"/>
  </r>
  <r>
    <x v="2"/>
    <x v="4"/>
    <x v="1"/>
    <n v="1200"/>
    <x v="0"/>
    <x v="1"/>
  </r>
  <r>
    <x v="2"/>
    <x v="4"/>
    <x v="0"/>
    <n v="1122"/>
    <x v="1"/>
    <x v="1"/>
  </r>
  <r>
    <x v="2"/>
    <x v="3"/>
    <x v="1"/>
    <n v="1110"/>
    <x v="2"/>
    <x v="1"/>
  </r>
  <r>
    <x v="2"/>
    <x v="3"/>
    <x v="0"/>
    <n v="964"/>
    <x v="2"/>
    <x v="2"/>
  </r>
  <r>
    <x v="2"/>
    <x v="1"/>
    <x v="1"/>
    <n v="919"/>
    <x v="1"/>
    <x v="0"/>
  </r>
  <r>
    <x v="2"/>
    <x v="1"/>
    <x v="0"/>
    <n v="1003"/>
    <x v="1"/>
    <x v="0"/>
  </r>
  <r>
    <x v="0"/>
    <x v="1"/>
    <x v="0"/>
    <n v="1184"/>
    <x v="1"/>
    <x v="1"/>
  </r>
  <r>
    <x v="0"/>
    <x v="2"/>
    <x v="0"/>
    <n v="999"/>
    <x v="1"/>
    <x v="2"/>
  </r>
  <r>
    <x v="0"/>
    <x v="1"/>
    <x v="0"/>
    <n v="1137"/>
    <x v="2"/>
    <x v="1"/>
  </r>
  <r>
    <x v="0"/>
    <x v="0"/>
    <x v="1"/>
    <n v="922"/>
    <x v="1"/>
    <x v="2"/>
  </r>
  <r>
    <x v="0"/>
    <x v="3"/>
    <x v="1"/>
    <n v="1293"/>
    <x v="1"/>
    <x v="1"/>
  </r>
  <r>
    <x v="0"/>
    <x v="2"/>
    <x v="1"/>
    <n v="1122"/>
    <x v="1"/>
    <x v="1"/>
  </r>
  <r>
    <x v="0"/>
    <x v="4"/>
    <x v="1"/>
    <n v="1357"/>
    <x v="0"/>
    <x v="2"/>
  </r>
  <r>
    <x v="0"/>
    <x v="1"/>
    <x v="1"/>
    <n v="1177"/>
    <x v="2"/>
    <x v="1"/>
  </r>
  <r>
    <x v="0"/>
    <x v="2"/>
    <x v="1"/>
    <n v="1030"/>
    <x v="2"/>
    <x v="1"/>
  </r>
  <r>
    <x v="0"/>
    <x v="1"/>
    <x v="1"/>
    <n v="1206"/>
    <x v="1"/>
    <x v="1"/>
  </r>
  <r>
    <x v="0"/>
    <x v="0"/>
    <x v="1"/>
    <n v="1161"/>
    <x v="2"/>
    <x v="1"/>
  </r>
  <r>
    <x v="0"/>
    <x v="0"/>
    <x v="1"/>
    <n v="1228"/>
    <x v="0"/>
    <x v="1"/>
  </r>
  <r>
    <x v="0"/>
    <x v="0"/>
    <x v="1"/>
    <n v="1293"/>
    <x v="2"/>
    <x v="2"/>
  </r>
  <r>
    <x v="0"/>
    <x v="3"/>
    <x v="0"/>
    <n v="1378"/>
    <x v="1"/>
    <x v="2"/>
  </r>
  <r>
    <x v="0"/>
    <x v="4"/>
    <x v="1"/>
    <n v="1139"/>
    <x v="1"/>
    <x v="2"/>
  </r>
  <r>
    <x v="0"/>
    <x v="0"/>
    <x v="0"/>
    <n v="1079"/>
    <x v="0"/>
    <x v="1"/>
  </r>
  <r>
    <x v="0"/>
    <x v="3"/>
    <x v="0"/>
    <n v="1348"/>
    <x v="2"/>
    <x v="2"/>
  </r>
  <r>
    <x v="0"/>
    <x v="2"/>
    <x v="0"/>
    <n v="1141"/>
    <x v="0"/>
    <x v="1"/>
  </r>
  <r>
    <x v="0"/>
    <x v="3"/>
    <x v="0"/>
    <n v="1043"/>
    <x v="2"/>
    <x v="1"/>
  </r>
  <r>
    <x v="0"/>
    <x v="1"/>
    <x v="0"/>
    <n v="1075"/>
    <x v="0"/>
    <x v="2"/>
  </r>
  <r>
    <x v="0"/>
    <x v="0"/>
    <x v="0"/>
    <n v="914"/>
    <x v="0"/>
    <x v="2"/>
  </r>
  <r>
    <x v="0"/>
    <x v="0"/>
    <x v="1"/>
    <n v="1185"/>
    <x v="0"/>
    <x v="2"/>
  </r>
  <r>
    <x v="0"/>
    <x v="3"/>
    <x v="1"/>
    <n v="1056"/>
    <x v="2"/>
    <x v="0"/>
  </r>
  <r>
    <x v="0"/>
    <x v="2"/>
    <x v="0"/>
    <n v="855"/>
    <x v="0"/>
    <x v="1"/>
  </r>
  <r>
    <x v="0"/>
    <x v="0"/>
    <x v="1"/>
    <n v="1319"/>
    <x v="0"/>
    <x v="2"/>
  </r>
  <r>
    <x v="0"/>
    <x v="4"/>
    <x v="1"/>
    <n v="1125"/>
    <x v="1"/>
    <x v="1"/>
  </r>
  <r>
    <x v="0"/>
    <x v="0"/>
    <x v="1"/>
    <n v="1351"/>
    <x v="2"/>
    <x v="1"/>
  </r>
  <r>
    <x v="0"/>
    <x v="3"/>
    <x v="1"/>
    <n v="1384"/>
    <x v="1"/>
    <x v="1"/>
  </r>
  <r>
    <x v="0"/>
    <x v="1"/>
    <x v="0"/>
    <n v="980"/>
    <x v="2"/>
    <x v="2"/>
  </r>
  <r>
    <x v="0"/>
    <x v="3"/>
    <x v="1"/>
    <n v="862"/>
    <x v="1"/>
    <x v="1"/>
  </r>
  <r>
    <x v="0"/>
    <x v="2"/>
    <x v="1"/>
    <n v="1047"/>
    <x v="2"/>
    <x v="1"/>
  </r>
  <r>
    <x v="1"/>
    <x v="1"/>
    <x v="1"/>
    <n v="964"/>
    <x v="1"/>
    <x v="1"/>
  </r>
  <r>
    <x v="1"/>
    <x v="3"/>
    <x v="1"/>
    <n v="968"/>
    <x v="1"/>
    <x v="1"/>
  </r>
  <r>
    <x v="1"/>
    <x v="1"/>
    <x v="1"/>
    <n v="1082"/>
    <x v="2"/>
    <x v="1"/>
  </r>
  <r>
    <x v="1"/>
    <x v="2"/>
    <x v="1"/>
    <n v="1264"/>
    <x v="1"/>
    <x v="0"/>
  </r>
  <r>
    <x v="1"/>
    <x v="1"/>
    <x v="1"/>
    <n v="1319"/>
    <x v="0"/>
    <x v="1"/>
  </r>
  <r>
    <x v="1"/>
    <x v="1"/>
    <x v="1"/>
    <n v="891"/>
    <x v="0"/>
    <x v="1"/>
  </r>
  <r>
    <x v="1"/>
    <x v="1"/>
    <x v="0"/>
    <n v="1270"/>
    <x v="2"/>
    <x v="1"/>
  </r>
  <r>
    <x v="1"/>
    <x v="1"/>
    <x v="0"/>
    <n v="878"/>
    <x v="1"/>
    <x v="1"/>
  </r>
  <r>
    <x v="1"/>
    <x v="4"/>
    <x v="1"/>
    <n v="988"/>
    <x v="0"/>
    <x v="1"/>
  </r>
  <r>
    <x v="1"/>
    <x v="0"/>
    <x v="1"/>
    <n v="1126"/>
    <x v="0"/>
    <x v="1"/>
  </r>
  <r>
    <x v="1"/>
    <x v="4"/>
    <x v="1"/>
    <n v="1031"/>
    <x v="0"/>
    <x v="1"/>
  </r>
  <r>
    <x v="1"/>
    <x v="1"/>
    <x v="1"/>
    <n v="1034"/>
    <x v="1"/>
    <x v="1"/>
  </r>
  <r>
    <x v="1"/>
    <x v="1"/>
    <x v="1"/>
    <n v="964"/>
    <x v="2"/>
    <x v="2"/>
  </r>
  <r>
    <x v="1"/>
    <x v="1"/>
    <x v="0"/>
    <n v="1342"/>
    <x v="2"/>
    <x v="1"/>
  </r>
  <r>
    <x v="1"/>
    <x v="4"/>
    <x v="1"/>
    <n v="970"/>
    <x v="1"/>
    <x v="1"/>
  </r>
  <r>
    <x v="1"/>
    <x v="0"/>
    <x v="0"/>
    <n v="1131"/>
    <x v="2"/>
    <x v="1"/>
  </r>
  <r>
    <x v="1"/>
    <x v="4"/>
    <x v="0"/>
    <n v="953"/>
    <x v="0"/>
    <x v="1"/>
  </r>
  <r>
    <x v="1"/>
    <x v="4"/>
    <x v="1"/>
    <n v="1310"/>
    <x v="1"/>
    <x v="1"/>
  </r>
  <r>
    <x v="1"/>
    <x v="3"/>
    <x v="0"/>
    <n v="1363"/>
    <x v="1"/>
    <x v="1"/>
  </r>
  <r>
    <x v="1"/>
    <x v="2"/>
    <x v="1"/>
    <n v="1308"/>
    <x v="2"/>
    <x v="2"/>
  </r>
  <r>
    <x v="1"/>
    <x v="1"/>
    <x v="1"/>
    <n v="963"/>
    <x v="2"/>
    <x v="1"/>
  </r>
  <r>
    <x v="1"/>
    <x v="2"/>
    <x v="1"/>
    <n v="988"/>
    <x v="1"/>
    <x v="2"/>
  </r>
  <r>
    <x v="1"/>
    <x v="4"/>
    <x v="1"/>
    <n v="1398"/>
    <x v="1"/>
    <x v="1"/>
  </r>
  <r>
    <x v="1"/>
    <x v="4"/>
    <x v="0"/>
    <n v="1087"/>
    <x v="2"/>
    <x v="1"/>
  </r>
  <r>
    <x v="1"/>
    <x v="0"/>
    <x v="0"/>
    <n v="923"/>
    <x v="2"/>
    <x v="1"/>
  </r>
  <r>
    <x v="1"/>
    <x v="4"/>
    <x v="1"/>
    <n v="1346"/>
    <x v="0"/>
    <x v="1"/>
  </r>
  <r>
    <x v="1"/>
    <x v="2"/>
    <x v="1"/>
    <n v="1175"/>
    <x v="2"/>
    <x v="1"/>
  </r>
  <r>
    <x v="1"/>
    <x v="1"/>
    <x v="0"/>
    <n v="1351"/>
    <x v="0"/>
    <x v="2"/>
  </r>
  <r>
    <x v="2"/>
    <x v="2"/>
    <x v="1"/>
    <n v="982"/>
    <x v="0"/>
    <x v="1"/>
  </r>
  <r>
    <x v="2"/>
    <x v="2"/>
    <x v="0"/>
    <n v="1064"/>
    <x v="2"/>
    <x v="1"/>
  </r>
  <r>
    <x v="2"/>
    <x v="1"/>
    <x v="0"/>
    <n v="863"/>
    <x v="2"/>
    <x v="2"/>
  </r>
  <r>
    <x v="2"/>
    <x v="0"/>
    <x v="0"/>
    <n v="1229"/>
    <x v="1"/>
    <x v="1"/>
  </r>
  <r>
    <x v="2"/>
    <x v="4"/>
    <x v="0"/>
    <n v="929"/>
    <x v="0"/>
    <x v="2"/>
  </r>
  <r>
    <x v="2"/>
    <x v="4"/>
    <x v="1"/>
    <n v="1190"/>
    <x v="1"/>
    <x v="1"/>
  </r>
  <r>
    <x v="2"/>
    <x v="4"/>
    <x v="1"/>
    <n v="1304"/>
    <x v="0"/>
    <x v="1"/>
  </r>
  <r>
    <x v="2"/>
    <x v="4"/>
    <x v="1"/>
    <n v="1122"/>
    <x v="0"/>
    <x v="1"/>
  </r>
  <r>
    <x v="2"/>
    <x v="4"/>
    <x v="0"/>
    <n v="1032"/>
    <x v="0"/>
    <x v="1"/>
  </r>
  <r>
    <x v="2"/>
    <x v="0"/>
    <x v="0"/>
    <n v="1233"/>
    <x v="0"/>
    <x v="0"/>
  </r>
  <r>
    <x v="2"/>
    <x v="4"/>
    <x v="0"/>
    <n v="901"/>
    <x v="2"/>
    <x v="1"/>
  </r>
  <r>
    <x v="2"/>
    <x v="4"/>
    <x v="0"/>
    <n v="898"/>
    <x v="1"/>
    <x v="2"/>
  </r>
  <r>
    <x v="2"/>
    <x v="3"/>
    <x v="1"/>
    <n v="965"/>
    <x v="0"/>
    <x v="2"/>
  </r>
  <r>
    <x v="2"/>
    <x v="1"/>
    <x v="0"/>
    <n v="1289"/>
    <x v="0"/>
    <x v="2"/>
  </r>
  <r>
    <x v="2"/>
    <x v="1"/>
    <x v="0"/>
    <n v="1372"/>
    <x v="1"/>
    <x v="1"/>
  </r>
  <r>
    <x v="2"/>
    <x v="4"/>
    <x v="0"/>
    <n v="1279"/>
    <x v="1"/>
    <x v="2"/>
  </r>
  <r>
    <x v="2"/>
    <x v="4"/>
    <x v="1"/>
    <n v="1206"/>
    <x v="1"/>
    <x v="2"/>
  </r>
  <r>
    <x v="2"/>
    <x v="2"/>
    <x v="1"/>
    <n v="1291"/>
    <x v="0"/>
    <x v="1"/>
  </r>
  <r>
    <x v="2"/>
    <x v="4"/>
    <x v="0"/>
    <n v="1167"/>
    <x v="1"/>
    <x v="1"/>
  </r>
  <r>
    <x v="2"/>
    <x v="0"/>
    <x v="0"/>
    <n v="1028"/>
    <x v="2"/>
    <x v="1"/>
  </r>
  <r>
    <x v="2"/>
    <x v="4"/>
    <x v="1"/>
    <n v="919"/>
    <x v="1"/>
    <x v="2"/>
  </r>
  <r>
    <x v="2"/>
    <x v="0"/>
    <x v="1"/>
    <n v="1088"/>
    <x v="1"/>
    <x v="1"/>
  </r>
  <r>
    <x v="2"/>
    <x v="2"/>
    <x v="0"/>
    <n v="873"/>
    <x v="0"/>
    <x v="2"/>
  </r>
  <r>
    <x v="2"/>
    <x v="1"/>
    <x v="0"/>
    <n v="886"/>
    <x v="1"/>
    <x v="2"/>
  </r>
  <r>
    <x v="2"/>
    <x v="3"/>
    <x v="0"/>
    <n v="1083"/>
    <x v="1"/>
    <x v="1"/>
  </r>
  <r>
    <x v="2"/>
    <x v="1"/>
    <x v="0"/>
    <n v="946"/>
    <x v="2"/>
    <x v="0"/>
  </r>
  <r>
    <x v="2"/>
    <x v="0"/>
    <x v="1"/>
    <n v="876"/>
    <x v="0"/>
    <x v="2"/>
  </r>
  <r>
    <x v="2"/>
    <x v="0"/>
    <x v="0"/>
    <n v="1235"/>
    <x v="1"/>
    <x v="1"/>
  </r>
  <r>
    <x v="2"/>
    <x v="1"/>
    <x v="1"/>
    <n v="896"/>
    <x v="2"/>
    <x v="1"/>
  </r>
  <r>
    <x v="2"/>
    <x v="1"/>
    <x v="1"/>
    <n v="1229"/>
    <x v="1"/>
    <x v="0"/>
  </r>
  <r>
    <x v="2"/>
    <x v="3"/>
    <x v="1"/>
    <n v="1367"/>
    <x v="0"/>
    <x v="1"/>
  </r>
  <r>
    <x v="0"/>
    <x v="2"/>
    <x v="1"/>
    <n v="938"/>
    <x v="2"/>
    <x v="1"/>
  </r>
  <r>
    <x v="0"/>
    <x v="1"/>
    <x v="1"/>
    <n v="917"/>
    <x v="2"/>
    <x v="1"/>
  </r>
  <r>
    <x v="0"/>
    <x v="0"/>
    <x v="0"/>
    <n v="1085"/>
    <x v="1"/>
    <x v="1"/>
  </r>
  <r>
    <x v="0"/>
    <x v="0"/>
    <x v="1"/>
    <n v="1019"/>
    <x v="1"/>
    <x v="1"/>
  </r>
  <r>
    <x v="0"/>
    <x v="4"/>
    <x v="0"/>
    <n v="1337"/>
    <x v="0"/>
    <x v="2"/>
  </r>
  <r>
    <x v="0"/>
    <x v="1"/>
    <x v="1"/>
    <n v="907"/>
    <x v="2"/>
    <x v="0"/>
  </r>
  <r>
    <x v="0"/>
    <x v="4"/>
    <x v="0"/>
    <n v="1060"/>
    <x v="1"/>
    <x v="1"/>
  </r>
  <r>
    <x v="0"/>
    <x v="4"/>
    <x v="0"/>
    <n v="943"/>
    <x v="2"/>
    <x v="1"/>
  </r>
  <r>
    <x v="0"/>
    <x v="1"/>
    <x v="1"/>
    <n v="931"/>
    <x v="1"/>
    <x v="1"/>
  </r>
  <r>
    <x v="0"/>
    <x v="1"/>
    <x v="0"/>
    <n v="1272"/>
    <x v="0"/>
    <x v="1"/>
  </r>
  <r>
    <x v="0"/>
    <x v="1"/>
    <x v="0"/>
    <n v="862"/>
    <x v="0"/>
    <x v="1"/>
  </r>
  <r>
    <x v="0"/>
    <x v="3"/>
    <x v="1"/>
    <n v="1255"/>
    <x v="1"/>
    <x v="1"/>
  </r>
  <r>
    <x v="0"/>
    <x v="3"/>
    <x v="1"/>
    <n v="859"/>
    <x v="1"/>
    <x v="1"/>
  </r>
  <r>
    <x v="0"/>
    <x v="2"/>
    <x v="0"/>
    <n v="1018"/>
    <x v="0"/>
    <x v="0"/>
  </r>
  <r>
    <x v="0"/>
    <x v="3"/>
    <x v="0"/>
    <n v="1216"/>
    <x v="1"/>
    <x v="2"/>
  </r>
  <r>
    <x v="0"/>
    <x v="3"/>
    <x v="0"/>
    <n v="1309"/>
    <x v="2"/>
    <x v="2"/>
  </r>
  <r>
    <x v="0"/>
    <x v="4"/>
    <x v="0"/>
    <n v="1163"/>
    <x v="0"/>
    <x v="0"/>
  </r>
  <r>
    <x v="0"/>
    <x v="1"/>
    <x v="1"/>
    <n v="1106"/>
    <x v="2"/>
    <x v="1"/>
  </r>
  <r>
    <x v="0"/>
    <x v="4"/>
    <x v="1"/>
    <n v="871"/>
    <x v="1"/>
    <x v="1"/>
  </r>
  <r>
    <x v="0"/>
    <x v="2"/>
    <x v="1"/>
    <n v="109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40F10-3226-4701-8D16-6A87E30D8B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3:E9" firstHeaderRow="1" firstDataRow="1" firstDataCol="1"/>
  <pivotFields count="6">
    <pivotField showAll="0">
      <items count="4">
        <item x="1"/>
        <item x="0"/>
        <item x="2"/>
        <item t="default"/>
      </items>
    </pivotField>
    <pivotField axis="axisRow" showAll="0" sortType="descending">
      <items count="7">
        <item x="1"/>
        <item x="4"/>
        <item m="1" x="5"/>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1"/>
        <item x="2"/>
        <item x="0"/>
        <item t="default"/>
      </items>
    </pivotField>
    <pivotField showAll="0" sortType="ascending">
      <items count="4">
        <item x="2"/>
        <item x="1"/>
        <item x="0"/>
        <item t="default"/>
      </items>
    </pivotField>
  </pivotFields>
  <rowFields count="1">
    <field x="1"/>
  </rowFields>
  <rowItems count="6">
    <i>
      <x v="4"/>
    </i>
    <i>
      <x v="5"/>
    </i>
    <i>
      <x v="3"/>
    </i>
    <i>
      <x v="1"/>
    </i>
    <i>
      <x/>
    </i>
    <i t="grand">
      <x/>
    </i>
  </rowItems>
  <colItems count="1">
    <i/>
  </colItems>
  <dataFields count="1">
    <dataField name="Average of Price (₹)" fld="3" subtotal="average" baseField="1" baseItem="0"/>
  </dataFields>
  <formats count="13">
    <format dxfId="12">
      <pivotArea grandRow="1" outline="0" collapsedLevelsAreSubtotals="1"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189587-E236-40D3-B257-DACB8D33ED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6">
    <pivotField showAll="0">
      <items count="4">
        <item x="1"/>
        <item x="0"/>
        <item x="2"/>
        <item t="default"/>
      </items>
    </pivotField>
    <pivotField showAll="0"/>
    <pivotField showAll="0"/>
    <pivotField showAll="0"/>
    <pivotField showAll="0">
      <items count="4">
        <item x="1"/>
        <item x="2"/>
        <item x="0"/>
        <item t="default"/>
      </items>
    </pivotField>
    <pivotField axis="axisRow" dataField="1" showAll="0" sortType="ascending">
      <items count="4">
        <item x="2"/>
        <item x="1"/>
        <item x="0"/>
        <item t="default"/>
      </items>
    </pivotField>
  </pivotFields>
  <rowFields count="1">
    <field x="5"/>
  </rowFields>
  <rowItems count="4">
    <i>
      <x/>
    </i>
    <i>
      <x v="1"/>
    </i>
    <i>
      <x v="2"/>
    </i>
    <i t="grand">
      <x/>
    </i>
  </rowItems>
  <colItems count="1">
    <i/>
  </colItems>
  <dataFields count="1">
    <dataField name="Count of Supply Level" fld="5" subtotal="count" baseField="0" baseItem="0"/>
  </dataFields>
  <formats count="12">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axis="axisValues" fieldPosition="0"/>
    </format>
  </formats>
  <chartFormats count="4">
    <chartFormat chart="25" format="22" series="1">
      <pivotArea type="data" outline="0" fieldPosition="0">
        <references count="1">
          <reference field="4294967294" count="1" selected="0">
            <x v="0"/>
          </reference>
        </references>
      </pivotArea>
    </chartFormat>
    <chartFormat chart="25" format="23">
      <pivotArea type="data" outline="0" fieldPosition="0">
        <references count="2">
          <reference field="4294967294" count="1" selected="0">
            <x v="0"/>
          </reference>
          <reference field="5" count="1" selected="0">
            <x v="0"/>
          </reference>
        </references>
      </pivotArea>
    </chartFormat>
    <chartFormat chart="25" format="24">
      <pivotArea type="data" outline="0" fieldPosition="0">
        <references count="2">
          <reference field="4294967294" count="1" selected="0">
            <x v="0"/>
          </reference>
          <reference field="5" count="1" selected="0">
            <x v="1"/>
          </reference>
        </references>
      </pivotArea>
    </chartFormat>
    <chartFormat chart="25" format="2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834A8-3CCF-4D3A-B1F4-7FCE7091B4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N7" firstHeaderRow="1" firstDataRow="2" firstDataCol="1"/>
  <pivotFields count="6">
    <pivotField showAll="0">
      <items count="4">
        <item x="1"/>
        <item x="0"/>
        <item x="2"/>
        <item t="default"/>
      </items>
    </pivotField>
    <pivotField showAll="0"/>
    <pivotField axis="axisRow" showAll="0">
      <items count="4">
        <item x="1"/>
        <item x="0"/>
        <item m="1" x="2"/>
        <item t="default"/>
      </items>
    </pivotField>
    <pivotField showAll="0"/>
    <pivotField showAll="0">
      <items count="4">
        <item x="1"/>
        <item x="2"/>
        <item x="0"/>
        <item t="default"/>
      </items>
    </pivotField>
    <pivotField axis="axisCol" dataField="1" showAll="0" sortType="ascending">
      <items count="4">
        <item x="2"/>
        <item x="1"/>
        <item x="0"/>
        <item t="default"/>
      </items>
    </pivotField>
  </pivotFields>
  <rowFields count="1">
    <field x="2"/>
  </rowFields>
  <rowItems count="3">
    <i>
      <x/>
    </i>
    <i>
      <x v="1"/>
    </i>
    <i t="grand">
      <x/>
    </i>
  </rowItems>
  <colFields count="1">
    <field x="5"/>
  </colFields>
  <colItems count="4">
    <i>
      <x/>
    </i>
    <i>
      <x v="1"/>
    </i>
    <i>
      <x v="2"/>
    </i>
    <i t="grand">
      <x/>
    </i>
  </colItems>
  <dataFields count="1">
    <dataField name="Count of Supply Level" fld="5" subtotal="count" baseField="2" baseItem="0"/>
  </dataFields>
  <formats count="22">
    <format dxfId="46">
      <pivotArea type="all" dataOnly="0" outline="0" fieldPosition="0"/>
    </format>
    <format dxfId="45">
      <pivotArea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5" type="button" dataOnly="0" labelOnly="1" outline="0" axis="axisCol" fieldPosition="0"/>
    </format>
    <format dxfId="40">
      <pivotArea type="topRight" dataOnly="0" labelOnly="1" outline="0"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fieldPosition="0">
        <references count="1">
          <reference field="5" count="0"/>
        </references>
      </pivotArea>
    </format>
    <format dxfId="35">
      <pivotArea dataOnly="0" labelOnly="1" grandCol="1"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5"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fieldPosition="0">
        <references count="1">
          <reference field="5" count="0"/>
        </references>
      </pivotArea>
    </format>
    <format dxfId="25">
      <pivotArea dataOnly="0" labelOnly="1" grandCol="1" outline="0" fieldPosition="0"/>
    </format>
  </formats>
  <chartFormats count="4">
    <chartFormat chart="33" format="13" series="1">
      <pivotArea type="data" outline="0" fieldPosition="0">
        <references count="2">
          <reference field="4294967294" count="1" selected="0">
            <x v="0"/>
          </reference>
          <reference field="5" count="1" selected="0">
            <x v="0"/>
          </reference>
        </references>
      </pivotArea>
    </chartFormat>
    <chartFormat chart="33" format="14" series="1">
      <pivotArea type="data" outline="0" fieldPosition="0">
        <references count="2">
          <reference field="4294967294" count="1" selected="0">
            <x v="0"/>
          </reference>
          <reference field="5" count="1" selected="0">
            <x v="1"/>
          </reference>
        </references>
      </pivotArea>
    </chartFormat>
    <chartFormat chart="33" format="15" series="1">
      <pivotArea type="data" outline="0" fieldPosition="0">
        <references count="2">
          <reference field="4294967294" count="1" selected="0">
            <x v="0"/>
          </reference>
          <reference field="5" count="1" selected="0">
            <x v="2"/>
          </reference>
        </references>
      </pivotArea>
    </chartFormat>
    <chartFormat chart="3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5AE78-27CE-415D-898A-839690E2BFA1}" name="PivotTable2"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25">
  <location ref="G3:H7" firstHeaderRow="1" firstDataRow="1" firstDataCol="1"/>
  <pivotFields count="6">
    <pivotField showAll="0">
      <items count="4">
        <item x="1"/>
        <item x="0"/>
        <item x="2"/>
        <item t="default"/>
      </items>
    </pivotField>
    <pivotField showAll="0"/>
    <pivotField showAll="0"/>
    <pivotField dataField="1" showAll="0"/>
    <pivotField axis="axisRow" sortType="descending">
      <items count="4">
        <item x="1"/>
        <item x="2"/>
        <item x="0"/>
        <item t="default"/>
      </items>
      <autoSortScope>
        <pivotArea dataOnly="0" outline="0" fieldPosition="0">
          <references count="1">
            <reference field="4294967294" count="1" selected="0">
              <x v="0"/>
            </reference>
          </references>
        </pivotArea>
      </autoSortScope>
    </pivotField>
    <pivotField showAll="0" sortType="ascending">
      <items count="4">
        <item x="2"/>
        <item x="1"/>
        <item x="0"/>
        <item t="default"/>
      </items>
    </pivotField>
  </pivotFields>
  <rowFields count="1">
    <field x="4"/>
  </rowFields>
  <rowItems count="4">
    <i>
      <x v="2"/>
    </i>
    <i>
      <x/>
    </i>
    <i>
      <x v="1"/>
    </i>
    <i t="grand">
      <x/>
    </i>
  </rowItems>
  <colItems count="1">
    <i/>
  </colItems>
  <dataFields count="1">
    <dataField name="Average of Price (₹)" fld="3" subtotal="average" baseField="4" baseItem="0"/>
  </dataFields>
  <formats count="16">
    <format dxfId="62">
      <pivotArea type="all" dataOnly="0" outline="0" fieldPosition="0"/>
    </format>
    <format dxfId="61">
      <pivotArea type="all" dataOnly="0" outline="0" fieldPosition="0"/>
    </format>
    <format dxfId="60">
      <pivotArea collapsedLevelsAreSubtotals="1" fieldPosition="0">
        <references count="1">
          <reference field="4" count="1">
            <x v="1"/>
          </reference>
        </references>
      </pivotArea>
    </format>
    <format dxfId="59">
      <pivotArea collapsedLevelsAreSubtotals="1" fieldPosition="0">
        <references count="1">
          <reference field="4" count="1">
            <x v="0"/>
          </reference>
        </references>
      </pivotArea>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outline="0" axis="axisValues"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y_Level" xr10:uid="{281FDA97-5BB4-4ADA-9E3C-3CE3FD6E5D09}" sourceName="Supply Level">
  <pivotTables>
    <pivotTable tabId="2" name="PivotTable1"/>
    <pivotTable tabId="2" name="PivotTable3"/>
    <pivotTable tabId="2" name="PivotTable5"/>
    <pivotTable tabId="2" name="PivotTable2"/>
  </pivotTables>
  <data>
    <tabular pivotCacheId="7629352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ort_Source" xr10:uid="{E074EE3B-B929-44EE-BAA8-2747AFA627D9}" sourceName="Import Source">
  <pivotTables>
    <pivotTable tabId="2" name="PivotTable3"/>
    <pivotTable tabId="2" name="PivotTable1"/>
    <pivotTable tabId="2" name="PivotTable5"/>
    <pivotTable tabId="2" name="PivotTable2"/>
  </pivotTables>
  <data>
    <tabular pivotCacheId="7629352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664F480-4405-4C92-ACA6-3C81E096ECB8}" sourceName="Date">
  <pivotTables>
    <pivotTable tabId="2" name="PivotTable1"/>
    <pivotTable tabId="2" name="PivotTable3"/>
    <pivotTable tabId="2" name="PivotTable5"/>
    <pivotTable tabId="2" name="PivotTable2"/>
  </pivotTables>
  <data>
    <tabular pivotCacheId="762935224" showMissing="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2D6667-8699-4129-BD3E-7118C5EAB0ED}" sourceName="Region">
  <pivotTables>
    <pivotTable tabId="2" name="PivotTable3"/>
  </pivotTables>
  <data>
    <tabular pivotCacheId="762935224" showMissing="0">
      <items count="6">
        <i x="1" s="1"/>
        <i x="4" s="1"/>
        <i x="0" s="1"/>
        <i x="3"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y Level 2" xr10:uid="{B842493D-0FA1-4527-BF75-A09E92B217F9}" cache="Slicer_Supply_Level" caption="Supply Level" columnCount="3" style="SlicerStyleDark5" rowHeight="576000"/>
  <slicer name="Import Source 2" xr10:uid="{24A55F41-B55A-49D5-BADE-3A4E4777AA47}" cache="Slicer_Import_Source" caption="Import Source" columnCount="3" style="SlicerStyleDark5" rowHeight="576000"/>
  <slicer name="Date 2" xr10:uid="{4F6D6627-6E8C-4E97-9226-3F8584F33D5E}" cache="Slicer_Date" caption="Date" columnCount="3" style="SlicerStyleDark5" rowHeight="576000"/>
  <slicer name="Region 2" xr10:uid="{8DB60327-4C4E-4927-A4DC-820C2E7021AA}" cache="Slicer_Region" caption="Region" columnCount="3" style="SlicerStyleDark5" rowHeight="57600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6-03-29T16:08:08.80" personId="{F83A9063-4AE3-4AF3-9B3A-67DAA00B9BF0}" id="{951740D0-35DD-4244-A6B7-860C4FBA6AB6}">
    <text xml:space="preserve"> This Icon Presents Huge shortage of Lpg</text>
  </threadedComment>
  <threadedComment ref="G3" dT="2026-03-29T16:09:23.98" personId="{F83A9063-4AE3-4AF3-9B3A-67DAA00B9BF0}" id="{C641ECD3-98ED-4F99-89E7-958CA3AF1AED}">
    <text>This Icon  presents Controlled situation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workbookViewId="0"/>
  </sheetViews>
  <sheetFormatPr defaultColWidth="28.77734375" defaultRowHeight="14.4" x14ac:dyDescent="0.3"/>
  <cols>
    <col min="1" max="1" width="15.77734375" style="1" customWidth="1"/>
    <col min="2" max="2" width="21.6640625" style="1" customWidth="1"/>
    <col min="3" max="3" width="13" style="1" customWidth="1"/>
    <col min="4" max="4" width="21" style="1" customWidth="1"/>
    <col min="5" max="5" width="15" style="1" customWidth="1"/>
    <col min="6" max="6" width="14.77734375" style="1" customWidth="1"/>
    <col min="7" max="16384" width="28.77734375" style="1"/>
  </cols>
  <sheetData>
    <row r="1" spans="1:9" ht="15.6" x14ac:dyDescent="0.3">
      <c r="A1" s="2" t="s">
        <v>0</v>
      </c>
      <c r="B1" s="2" t="s">
        <v>1</v>
      </c>
      <c r="C1" s="2" t="s">
        <v>2</v>
      </c>
      <c r="D1" s="2" t="s">
        <v>3</v>
      </c>
      <c r="E1" s="2" t="s">
        <v>4</v>
      </c>
      <c r="F1" s="2" t="s">
        <v>5</v>
      </c>
      <c r="G1" s="2" t="s">
        <v>27</v>
      </c>
      <c r="H1" s="2" t="s">
        <v>28</v>
      </c>
      <c r="I1" s="2" t="s">
        <v>29</v>
      </c>
    </row>
    <row r="2" spans="1:9" x14ac:dyDescent="0.3">
      <c r="A2" s="1" t="s">
        <v>6</v>
      </c>
      <c r="B2" s="1" t="s">
        <v>7</v>
      </c>
      <c r="C2" s="1" t="s">
        <v>14</v>
      </c>
      <c r="D2" s="1">
        <v>965</v>
      </c>
      <c r="E2" s="1" t="s">
        <v>9</v>
      </c>
      <c r="F2" s="1" t="s">
        <v>10</v>
      </c>
      <c r="G2" s="1" t="str">
        <f>IF(F2="Shortage", "🔴 CRITICAL", "🟢 STABLE")</f>
        <v>🔴 CRITICAL</v>
      </c>
      <c r="H2" s="3">
        <f>(A2+1)</f>
        <v>46024</v>
      </c>
      <c r="I2" s="1">
        <f>COUNTIFS(B:B, B2, F:F, "Shortage")</f>
        <v>2</v>
      </c>
    </row>
    <row r="3" spans="1:9" x14ac:dyDescent="0.3">
      <c r="A3" s="1" t="s">
        <v>6</v>
      </c>
      <c r="B3" s="1" t="s">
        <v>11</v>
      </c>
      <c r="C3" s="1" t="s">
        <v>8</v>
      </c>
      <c r="D3" s="1">
        <v>1341</v>
      </c>
      <c r="E3" s="1" t="s">
        <v>12</v>
      </c>
      <c r="F3" s="1" t="s">
        <v>13</v>
      </c>
      <c r="G3" s="1" t="str">
        <f>IF(F3="Shortage", "🔴 CRITICAL", "🟢 STABLE")</f>
        <v>🟢 STABLE</v>
      </c>
      <c r="H3" s="3">
        <f>(A3+2)</f>
        <v>46025</v>
      </c>
      <c r="I3" s="1">
        <f t="shared" ref="I3:I66" si="0">COUNTIFS(B:B, B3, F:F, "Shortage")</f>
        <v>7</v>
      </c>
    </row>
    <row r="4" spans="1:9" x14ac:dyDescent="0.3">
      <c r="A4" s="1" t="s">
        <v>6</v>
      </c>
      <c r="B4" s="1" t="s">
        <v>11</v>
      </c>
      <c r="C4" s="1" t="s">
        <v>14</v>
      </c>
      <c r="D4" s="1">
        <v>1100</v>
      </c>
      <c r="E4" s="1" t="s">
        <v>15</v>
      </c>
      <c r="F4" s="1" t="s">
        <v>16</v>
      </c>
      <c r="G4" s="1" t="str">
        <f t="shared" ref="G4:G67" si="1">IF(F4="Shortage", "🔴 CRITICAL", "🟢 STABLE")</f>
        <v>🟢 STABLE</v>
      </c>
      <c r="H4" s="3">
        <f>(A4+4)</f>
        <v>46027</v>
      </c>
      <c r="I4" s="1">
        <f t="shared" si="0"/>
        <v>7</v>
      </c>
    </row>
    <row r="5" spans="1:9" x14ac:dyDescent="0.3">
      <c r="A5" s="1" t="s">
        <v>6</v>
      </c>
      <c r="B5" s="1" t="s">
        <v>17</v>
      </c>
      <c r="C5" s="1" t="s">
        <v>8</v>
      </c>
      <c r="D5" s="1">
        <v>1134</v>
      </c>
      <c r="E5" s="1" t="s">
        <v>9</v>
      </c>
      <c r="F5" s="1" t="s">
        <v>13</v>
      </c>
      <c r="G5" s="1" t="str">
        <f t="shared" si="1"/>
        <v>🟢 STABLE</v>
      </c>
      <c r="H5" s="3">
        <f>(A5+5)</f>
        <v>46028</v>
      </c>
      <c r="I5" s="1">
        <f t="shared" si="0"/>
        <v>3</v>
      </c>
    </row>
    <row r="6" spans="1:9" x14ac:dyDescent="0.3">
      <c r="A6" s="1" t="s">
        <v>6</v>
      </c>
      <c r="B6" s="1" t="s">
        <v>7</v>
      </c>
      <c r="C6" s="1" t="s">
        <v>8</v>
      </c>
      <c r="D6" s="1">
        <v>966</v>
      </c>
      <c r="E6" s="1" t="s">
        <v>9</v>
      </c>
      <c r="F6" s="1" t="s">
        <v>16</v>
      </c>
      <c r="G6" s="1" t="str">
        <f t="shared" si="1"/>
        <v>🟢 STABLE</v>
      </c>
      <c r="H6" s="3">
        <f>(A6+6)</f>
        <v>46029</v>
      </c>
      <c r="I6" s="1">
        <f t="shared" si="0"/>
        <v>2</v>
      </c>
    </row>
    <row r="7" spans="1:9" x14ac:dyDescent="0.3">
      <c r="A7" s="1" t="s">
        <v>6</v>
      </c>
      <c r="B7" s="1" t="s">
        <v>17</v>
      </c>
      <c r="C7" s="1" t="s">
        <v>8</v>
      </c>
      <c r="D7" s="1">
        <v>1193</v>
      </c>
      <c r="E7" s="1" t="s">
        <v>12</v>
      </c>
      <c r="F7" s="1" t="s">
        <v>13</v>
      </c>
      <c r="G7" s="1" t="str">
        <f t="shared" si="1"/>
        <v>🟢 STABLE</v>
      </c>
      <c r="H7" s="3">
        <f>(A7+7)</f>
        <v>46030</v>
      </c>
      <c r="I7" s="1">
        <f t="shared" si="0"/>
        <v>3</v>
      </c>
    </row>
    <row r="8" spans="1:9" x14ac:dyDescent="0.3">
      <c r="A8" s="1" t="s">
        <v>6</v>
      </c>
      <c r="B8" s="1" t="s">
        <v>18</v>
      </c>
      <c r="C8" s="1" t="s">
        <v>14</v>
      </c>
      <c r="D8" s="1">
        <v>1084</v>
      </c>
      <c r="E8" s="1" t="s">
        <v>15</v>
      </c>
      <c r="F8" s="1" t="s">
        <v>13</v>
      </c>
      <c r="G8" s="1" t="str">
        <f t="shared" si="1"/>
        <v>🟢 STABLE</v>
      </c>
      <c r="H8" s="3">
        <f>(A8+8)</f>
        <v>46031</v>
      </c>
      <c r="I8" s="1">
        <f t="shared" si="0"/>
        <v>3</v>
      </c>
    </row>
    <row r="9" spans="1:9" x14ac:dyDescent="0.3">
      <c r="A9" s="1" t="s">
        <v>6</v>
      </c>
      <c r="B9" s="1" t="s">
        <v>11</v>
      </c>
      <c r="C9" s="1" t="s">
        <v>8</v>
      </c>
      <c r="D9" s="1">
        <v>863</v>
      </c>
      <c r="E9" s="1" t="s">
        <v>15</v>
      </c>
      <c r="F9" s="1" t="s">
        <v>13</v>
      </c>
      <c r="G9" s="1" t="str">
        <f t="shared" si="1"/>
        <v>🟢 STABLE</v>
      </c>
      <c r="H9" s="3">
        <f>(A9+9)</f>
        <v>46032</v>
      </c>
      <c r="I9" s="1">
        <f t="shared" si="0"/>
        <v>7</v>
      </c>
    </row>
    <row r="10" spans="1:9" x14ac:dyDescent="0.3">
      <c r="A10" s="1" t="s">
        <v>6</v>
      </c>
      <c r="B10" s="1" t="s">
        <v>7</v>
      </c>
      <c r="C10" s="1" t="s">
        <v>8</v>
      </c>
      <c r="D10" s="1">
        <v>1261</v>
      </c>
      <c r="E10" s="1" t="s">
        <v>15</v>
      </c>
      <c r="F10" s="1" t="s">
        <v>13</v>
      </c>
      <c r="G10" s="1" t="str">
        <f t="shared" si="1"/>
        <v>🟢 STABLE</v>
      </c>
      <c r="H10" s="3">
        <f>(A10+10)</f>
        <v>46033</v>
      </c>
      <c r="I10" s="1">
        <f>COUNTIFS(B:B, B10, F:F, "Shortage")</f>
        <v>2</v>
      </c>
    </row>
    <row r="11" spans="1:9" x14ac:dyDescent="0.3">
      <c r="A11" s="1" t="s">
        <v>6</v>
      </c>
      <c r="B11" s="1" t="s">
        <v>11</v>
      </c>
      <c r="C11" s="1" t="s">
        <v>14</v>
      </c>
      <c r="D11" s="1">
        <v>1290</v>
      </c>
      <c r="E11" s="1" t="s">
        <v>12</v>
      </c>
      <c r="F11" s="1" t="s">
        <v>16</v>
      </c>
      <c r="G11" s="1" t="str">
        <f t="shared" si="1"/>
        <v>🟢 STABLE</v>
      </c>
      <c r="H11" s="3">
        <f>(A11+11)</f>
        <v>46034</v>
      </c>
      <c r="I11" s="1">
        <f t="shared" si="0"/>
        <v>7</v>
      </c>
    </row>
    <row r="12" spans="1:9" x14ac:dyDescent="0.3">
      <c r="A12" s="1" t="s">
        <v>6</v>
      </c>
      <c r="B12" s="1" t="s">
        <v>11</v>
      </c>
      <c r="C12" s="1" t="s">
        <v>14</v>
      </c>
      <c r="D12" s="1">
        <v>954</v>
      </c>
      <c r="E12" s="1" t="s">
        <v>9</v>
      </c>
      <c r="F12" s="1" t="s">
        <v>13</v>
      </c>
      <c r="G12" s="1" t="str">
        <f t="shared" si="1"/>
        <v>🟢 STABLE</v>
      </c>
      <c r="H12" s="3">
        <f>(A12+12)</f>
        <v>46035</v>
      </c>
      <c r="I12" s="1">
        <f t="shared" si="0"/>
        <v>7</v>
      </c>
    </row>
    <row r="13" spans="1:9" x14ac:dyDescent="0.3">
      <c r="A13" s="1" t="s">
        <v>6</v>
      </c>
      <c r="B13" s="1" t="s">
        <v>18</v>
      </c>
      <c r="C13" s="1" t="s">
        <v>14</v>
      </c>
      <c r="D13" s="1">
        <v>1394</v>
      </c>
      <c r="E13" s="1" t="s">
        <v>15</v>
      </c>
      <c r="F13" s="1" t="s">
        <v>10</v>
      </c>
      <c r="G13" s="1" t="str">
        <f t="shared" si="1"/>
        <v>🔴 CRITICAL</v>
      </c>
      <c r="H13" s="3">
        <v>46036</v>
      </c>
      <c r="I13" s="1">
        <f t="shared" si="0"/>
        <v>3</v>
      </c>
    </row>
    <row r="14" spans="1:9" x14ac:dyDescent="0.3">
      <c r="A14" s="1" t="s">
        <v>6</v>
      </c>
      <c r="B14" s="1" t="s">
        <v>18</v>
      </c>
      <c r="C14" s="1" t="s">
        <v>14</v>
      </c>
      <c r="D14" s="1">
        <v>973</v>
      </c>
      <c r="E14" s="1" t="s">
        <v>12</v>
      </c>
      <c r="F14" s="1" t="s">
        <v>16</v>
      </c>
      <c r="G14" s="1" t="str">
        <f t="shared" si="1"/>
        <v>🟢 STABLE</v>
      </c>
      <c r="H14" s="3">
        <v>46037</v>
      </c>
      <c r="I14" s="1">
        <f t="shared" si="0"/>
        <v>3</v>
      </c>
    </row>
    <row r="15" spans="1:9" x14ac:dyDescent="0.3">
      <c r="A15" s="1" t="s">
        <v>6</v>
      </c>
      <c r="B15" s="1" t="s">
        <v>17</v>
      </c>
      <c r="C15" s="1" t="s">
        <v>8</v>
      </c>
      <c r="D15" s="1">
        <v>1276</v>
      </c>
      <c r="E15" s="1" t="s">
        <v>15</v>
      </c>
      <c r="F15" s="1" t="s">
        <v>13</v>
      </c>
      <c r="G15" s="1" t="str">
        <f t="shared" si="1"/>
        <v>🟢 STABLE</v>
      </c>
      <c r="H15" s="3">
        <v>46038</v>
      </c>
      <c r="I15" s="1">
        <f t="shared" si="0"/>
        <v>3</v>
      </c>
    </row>
    <row r="16" spans="1:9" x14ac:dyDescent="0.3">
      <c r="A16" s="1" t="s">
        <v>6</v>
      </c>
      <c r="B16" s="1" t="s">
        <v>19</v>
      </c>
      <c r="C16" s="1" t="s">
        <v>8</v>
      </c>
      <c r="D16" s="1">
        <v>900</v>
      </c>
      <c r="E16" s="1" t="s">
        <v>12</v>
      </c>
      <c r="F16" s="1" t="s">
        <v>13</v>
      </c>
      <c r="G16" s="1" t="str">
        <f t="shared" si="1"/>
        <v>🟢 STABLE</v>
      </c>
      <c r="H16" s="3">
        <v>46039</v>
      </c>
      <c r="I16" s="1">
        <f t="shared" si="0"/>
        <v>2</v>
      </c>
    </row>
    <row r="17" spans="1:9" x14ac:dyDescent="0.3">
      <c r="A17" s="1" t="s">
        <v>6</v>
      </c>
      <c r="B17" s="1" t="s">
        <v>18</v>
      </c>
      <c r="C17" s="1" t="s">
        <v>8</v>
      </c>
      <c r="D17" s="1">
        <v>986</v>
      </c>
      <c r="E17" s="1" t="s">
        <v>9</v>
      </c>
      <c r="F17" s="1" t="s">
        <v>13</v>
      </c>
      <c r="G17" s="1" t="str">
        <f t="shared" si="1"/>
        <v>🟢 STABLE</v>
      </c>
      <c r="H17" s="3">
        <v>46040</v>
      </c>
      <c r="I17" s="1">
        <f t="shared" si="0"/>
        <v>3</v>
      </c>
    </row>
    <row r="18" spans="1:9" x14ac:dyDescent="0.3">
      <c r="A18" s="1" t="s">
        <v>6</v>
      </c>
      <c r="B18" s="1" t="s">
        <v>19</v>
      </c>
      <c r="C18" s="1" t="s">
        <v>8</v>
      </c>
      <c r="D18" s="1">
        <v>911</v>
      </c>
      <c r="E18" s="1" t="s">
        <v>15</v>
      </c>
      <c r="F18" s="1" t="s">
        <v>13</v>
      </c>
      <c r="G18" s="1" t="str">
        <f t="shared" si="1"/>
        <v>🟢 STABLE</v>
      </c>
      <c r="H18" s="3">
        <v>46041</v>
      </c>
      <c r="I18" s="1">
        <f t="shared" si="0"/>
        <v>2</v>
      </c>
    </row>
    <row r="19" spans="1:9" x14ac:dyDescent="0.3">
      <c r="A19" s="1" t="s">
        <v>6</v>
      </c>
      <c r="B19" s="1" t="s">
        <v>7</v>
      </c>
      <c r="C19" s="1" t="s">
        <v>14</v>
      </c>
      <c r="D19" s="1">
        <v>1300</v>
      </c>
      <c r="E19" s="1" t="s">
        <v>9</v>
      </c>
      <c r="F19" s="1" t="s">
        <v>13</v>
      </c>
      <c r="G19" s="1" t="str">
        <f t="shared" si="1"/>
        <v>🟢 STABLE</v>
      </c>
      <c r="H19" s="3">
        <v>46042</v>
      </c>
      <c r="I19" s="1">
        <f t="shared" si="0"/>
        <v>2</v>
      </c>
    </row>
    <row r="20" spans="1:9" x14ac:dyDescent="0.3">
      <c r="A20" s="1" t="s">
        <v>6</v>
      </c>
      <c r="B20" s="1" t="s">
        <v>11</v>
      </c>
      <c r="C20" s="1" t="s">
        <v>14</v>
      </c>
      <c r="D20" s="1">
        <v>1264</v>
      </c>
      <c r="E20" s="1" t="s">
        <v>9</v>
      </c>
      <c r="F20" s="1" t="s">
        <v>16</v>
      </c>
      <c r="G20" s="1" t="str">
        <f t="shared" si="1"/>
        <v>🟢 STABLE</v>
      </c>
      <c r="H20" s="3">
        <v>46043</v>
      </c>
      <c r="I20" s="1">
        <f t="shared" si="0"/>
        <v>7</v>
      </c>
    </row>
    <row r="21" spans="1:9" x14ac:dyDescent="0.3">
      <c r="A21" s="1" t="s">
        <v>6</v>
      </c>
      <c r="B21" s="1" t="s">
        <v>19</v>
      </c>
      <c r="C21" s="1" t="s">
        <v>14</v>
      </c>
      <c r="D21" s="1">
        <v>942</v>
      </c>
      <c r="E21" s="1" t="s">
        <v>15</v>
      </c>
      <c r="F21" s="1" t="s">
        <v>16</v>
      </c>
      <c r="G21" s="1" t="str">
        <f t="shared" si="1"/>
        <v>🟢 STABLE</v>
      </c>
      <c r="H21" s="3">
        <v>46044</v>
      </c>
      <c r="I21" s="1">
        <f t="shared" si="0"/>
        <v>2</v>
      </c>
    </row>
    <row r="22" spans="1:9" x14ac:dyDescent="0.3">
      <c r="A22" s="1" t="s">
        <v>6</v>
      </c>
      <c r="B22" s="1" t="s">
        <v>19</v>
      </c>
      <c r="C22" s="1" t="s">
        <v>14</v>
      </c>
      <c r="D22" s="1">
        <v>1079</v>
      </c>
      <c r="E22" s="1" t="s">
        <v>9</v>
      </c>
      <c r="F22" s="1" t="s">
        <v>13</v>
      </c>
      <c r="G22" s="1" t="str">
        <f t="shared" si="1"/>
        <v>🟢 STABLE</v>
      </c>
      <c r="H22" s="3">
        <v>46045</v>
      </c>
      <c r="I22" s="1">
        <f t="shared" si="0"/>
        <v>2</v>
      </c>
    </row>
    <row r="23" spans="1:9" x14ac:dyDescent="0.3">
      <c r="A23" s="1" t="s">
        <v>6</v>
      </c>
      <c r="B23" s="1" t="s">
        <v>7</v>
      </c>
      <c r="C23" s="1" t="s">
        <v>8</v>
      </c>
      <c r="D23" s="1">
        <v>1093</v>
      </c>
      <c r="E23" s="1" t="s">
        <v>15</v>
      </c>
      <c r="F23" s="1" t="s">
        <v>13</v>
      </c>
      <c r="G23" s="1" t="str">
        <f t="shared" si="1"/>
        <v>🟢 STABLE</v>
      </c>
      <c r="H23" s="3">
        <v>46046</v>
      </c>
      <c r="I23" s="1">
        <f t="shared" si="0"/>
        <v>2</v>
      </c>
    </row>
    <row r="24" spans="1:9" x14ac:dyDescent="0.3">
      <c r="A24" s="1" t="s">
        <v>6</v>
      </c>
      <c r="B24" s="1" t="s">
        <v>19</v>
      </c>
      <c r="C24" s="1" t="s">
        <v>14</v>
      </c>
      <c r="D24" s="1">
        <v>1326</v>
      </c>
      <c r="E24" s="1" t="s">
        <v>9</v>
      </c>
      <c r="F24" s="1" t="s">
        <v>13</v>
      </c>
      <c r="G24" s="1" t="str">
        <f t="shared" si="1"/>
        <v>🟢 STABLE</v>
      </c>
      <c r="H24" s="3">
        <v>46047</v>
      </c>
      <c r="I24" s="1">
        <f t="shared" si="0"/>
        <v>2</v>
      </c>
    </row>
    <row r="25" spans="1:9" x14ac:dyDescent="0.3">
      <c r="A25" s="1" t="s">
        <v>6</v>
      </c>
      <c r="B25" s="1" t="s">
        <v>18</v>
      </c>
      <c r="C25" s="1" t="s">
        <v>14</v>
      </c>
      <c r="D25" s="1">
        <v>1076</v>
      </c>
      <c r="E25" s="1" t="s">
        <v>12</v>
      </c>
      <c r="F25" s="1" t="s">
        <v>13</v>
      </c>
      <c r="G25" s="1" t="str">
        <f t="shared" si="1"/>
        <v>🟢 STABLE</v>
      </c>
      <c r="H25" s="3">
        <v>46048</v>
      </c>
      <c r="I25" s="1">
        <f t="shared" si="0"/>
        <v>3</v>
      </c>
    </row>
    <row r="26" spans="1:9" x14ac:dyDescent="0.3">
      <c r="A26" s="1" t="s">
        <v>6</v>
      </c>
      <c r="B26" s="1" t="s">
        <v>17</v>
      </c>
      <c r="C26" s="1" t="s">
        <v>8</v>
      </c>
      <c r="D26" s="1">
        <v>1355</v>
      </c>
      <c r="E26" s="1" t="s">
        <v>15</v>
      </c>
      <c r="F26" s="1" t="s">
        <v>13</v>
      </c>
      <c r="G26" s="1" t="str">
        <f t="shared" si="1"/>
        <v>🟢 STABLE</v>
      </c>
      <c r="H26" s="3">
        <v>46049</v>
      </c>
      <c r="I26" s="1">
        <f t="shared" si="0"/>
        <v>3</v>
      </c>
    </row>
    <row r="27" spans="1:9" x14ac:dyDescent="0.3">
      <c r="A27" s="1" t="s">
        <v>6</v>
      </c>
      <c r="B27" s="1" t="s">
        <v>17</v>
      </c>
      <c r="C27" s="1" t="s">
        <v>8</v>
      </c>
      <c r="D27" s="1">
        <v>1340</v>
      </c>
      <c r="E27" s="1" t="s">
        <v>15</v>
      </c>
      <c r="F27" s="1" t="s">
        <v>16</v>
      </c>
      <c r="G27" s="1" t="str">
        <f t="shared" si="1"/>
        <v>🟢 STABLE</v>
      </c>
      <c r="H27" s="3">
        <v>46050</v>
      </c>
      <c r="I27" s="1">
        <f t="shared" si="0"/>
        <v>3</v>
      </c>
    </row>
    <row r="28" spans="1:9" x14ac:dyDescent="0.3">
      <c r="A28" s="1" t="s">
        <v>6</v>
      </c>
      <c r="B28" s="1" t="s">
        <v>7</v>
      </c>
      <c r="C28" s="1" t="s">
        <v>8</v>
      </c>
      <c r="D28" s="1">
        <v>1293</v>
      </c>
      <c r="E28" s="1" t="s">
        <v>15</v>
      </c>
      <c r="F28" s="1" t="s">
        <v>13</v>
      </c>
      <c r="G28" s="1" t="str">
        <f t="shared" si="1"/>
        <v>🟢 STABLE</v>
      </c>
      <c r="H28" s="3">
        <v>46051</v>
      </c>
      <c r="I28" s="1">
        <f t="shared" si="0"/>
        <v>2</v>
      </c>
    </row>
    <row r="29" spans="1:9" x14ac:dyDescent="0.3">
      <c r="A29" s="1" t="s">
        <v>6</v>
      </c>
      <c r="B29" s="1" t="s">
        <v>19</v>
      </c>
      <c r="C29" s="1" t="s">
        <v>14</v>
      </c>
      <c r="D29" s="1">
        <v>1398</v>
      </c>
      <c r="E29" s="1" t="s">
        <v>9</v>
      </c>
      <c r="F29" s="1" t="s">
        <v>13</v>
      </c>
      <c r="G29" s="1" t="str">
        <f t="shared" si="1"/>
        <v>🟢 STABLE</v>
      </c>
      <c r="H29" s="3">
        <v>46052</v>
      </c>
      <c r="I29" s="1">
        <f t="shared" si="0"/>
        <v>2</v>
      </c>
    </row>
    <row r="30" spans="1:9" x14ac:dyDescent="0.3">
      <c r="A30" s="1" t="s">
        <v>6</v>
      </c>
      <c r="B30" s="1" t="s">
        <v>11</v>
      </c>
      <c r="C30" s="1" t="s">
        <v>8</v>
      </c>
      <c r="D30" s="1">
        <v>1016</v>
      </c>
      <c r="E30" s="1" t="s">
        <v>12</v>
      </c>
      <c r="F30" s="1" t="s">
        <v>13</v>
      </c>
      <c r="G30" s="1" t="str">
        <f t="shared" si="1"/>
        <v>🟢 STABLE</v>
      </c>
      <c r="H30" s="3">
        <v>46053</v>
      </c>
      <c r="I30" s="1">
        <f t="shared" si="0"/>
        <v>7</v>
      </c>
    </row>
    <row r="31" spans="1:9" x14ac:dyDescent="0.3">
      <c r="A31" s="1" t="s">
        <v>6</v>
      </c>
      <c r="B31" s="1" t="s">
        <v>18</v>
      </c>
      <c r="C31" s="1" t="s">
        <v>8</v>
      </c>
      <c r="D31" s="1">
        <v>1285</v>
      </c>
      <c r="E31" s="1" t="s">
        <v>15</v>
      </c>
      <c r="F31" s="1" t="s">
        <v>10</v>
      </c>
      <c r="G31" s="1" t="str">
        <f t="shared" si="1"/>
        <v>🔴 CRITICAL</v>
      </c>
      <c r="H31" s="3">
        <v>46054</v>
      </c>
      <c r="I31" s="1">
        <f t="shared" si="0"/>
        <v>3</v>
      </c>
    </row>
    <row r="32" spans="1:9" x14ac:dyDescent="0.3">
      <c r="A32" s="1" t="s">
        <v>6</v>
      </c>
      <c r="B32" s="1" t="s">
        <v>11</v>
      </c>
      <c r="C32" s="1" t="s">
        <v>14</v>
      </c>
      <c r="D32" s="1">
        <v>1007</v>
      </c>
      <c r="E32" s="1" t="s">
        <v>15</v>
      </c>
      <c r="F32" s="1" t="s">
        <v>10</v>
      </c>
      <c r="G32" s="1" t="str">
        <f t="shared" si="1"/>
        <v>🔴 CRITICAL</v>
      </c>
      <c r="H32" s="3">
        <v>46055</v>
      </c>
      <c r="I32" s="1">
        <f t="shared" si="0"/>
        <v>7</v>
      </c>
    </row>
    <row r="33" spans="1:9" x14ac:dyDescent="0.3">
      <c r="A33" s="1" t="s">
        <v>20</v>
      </c>
      <c r="B33" s="1" t="s">
        <v>18</v>
      </c>
      <c r="C33" s="1" t="s">
        <v>14</v>
      </c>
      <c r="D33" s="1">
        <v>1355</v>
      </c>
      <c r="E33" s="1" t="s">
        <v>15</v>
      </c>
      <c r="F33" s="1" t="s">
        <v>16</v>
      </c>
      <c r="G33" s="1" t="str">
        <f t="shared" si="1"/>
        <v>🟢 STABLE</v>
      </c>
      <c r="H33" s="3">
        <v>46056</v>
      </c>
      <c r="I33" s="1">
        <f t="shared" si="0"/>
        <v>3</v>
      </c>
    </row>
    <row r="34" spans="1:9" x14ac:dyDescent="0.3">
      <c r="A34" s="1" t="s">
        <v>20</v>
      </c>
      <c r="B34" s="1" t="s">
        <v>11</v>
      </c>
      <c r="C34" s="1" t="s">
        <v>8</v>
      </c>
      <c r="D34" s="1">
        <v>974</v>
      </c>
      <c r="E34" s="1" t="s">
        <v>15</v>
      </c>
      <c r="F34" s="1" t="s">
        <v>13</v>
      </c>
      <c r="G34" s="1" t="str">
        <f t="shared" si="1"/>
        <v>🟢 STABLE</v>
      </c>
      <c r="H34" s="3">
        <v>46057</v>
      </c>
      <c r="I34" s="1">
        <f t="shared" si="0"/>
        <v>7</v>
      </c>
    </row>
    <row r="35" spans="1:9" x14ac:dyDescent="0.3">
      <c r="A35" s="1" t="s">
        <v>20</v>
      </c>
      <c r="B35" s="1" t="s">
        <v>19</v>
      </c>
      <c r="C35" s="1" t="s">
        <v>8</v>
      </c>
      <c r="D35" s="1">
        <v>956</v>
      </c>
      <c r="E35" s="1" t="s">
        <v>9</v>
      </c>
      <c r="F35" s="1" t="s">
        <v>13</v>
      </c>
      <c r="G35" s="1" t="str">
        <f t="shared" si="1"/>
        <v>🟢 STABLE</v>
      </c>
      <c r="H35" s="3">
        <v>46058</v>
      </c>
      <c r="I35" s="1">
        <f t="shared" si="0"/>
        <v>2</v>
      </c>
    </row>
    <row r="36" spans="1:9" x14ac:dyDescent="0.3">
      <c r="A36" s="1" t="s">
        <v>20</v>
      </c>
      <c r="B36" s="1" t="s">
        <v>17</v>
      </c>
      <c r="C36" s="1" t="s">
        <v>8</v>
      </c>
      <c r="D36" s="1">
        <v>1248</v>
      </c>
      <c r="E36" s="1" t="s">
        <v>12</v>
      </c>
      <c r="F36" s="1" t="s">
        <v>13</v>
      </c>
      <c r="G36" s="1" t="str">
        <f t="shared" si="1"/>
        <v>🟢 STABLE</v>
      </c>
      <c r="H36" s="3">
        <v>46059</v>
      </c>
      <c r="I36" s="1">
        <f t="shared" si="0"/>
        <v>3</v>
      </c>
    </row>
    <row r="37" spans="1:9" x14ac:dyDescent="0.3">
      <c r="A37" s="1" t="s">
        <v>20</v>
      </c>
      <c r="B37" s="1" t="s">
        <v>19</v>
      </c>
      <c r="C37" s="1" t="s">
        <v>14</v>
      </c>
      <c r="D37" s="1">
        <v>1382</v>
      </c>
      <c r="E37" s="1" t="s">
        <v>9</v>
      </c>
      <c r="F37" s="1" t="s">
        <v>13</v>
      </c>
      <c r="G37" s="1" t="str">
        <f t="shared" si="1"/>
        <v>🟢 STABLE</v>
      </c>
      <c r="H37" s="3">
        <v>46060</v>
      </c>
      <c r="I37" s="1">
        <f t="shared" si="0"/>
        <v>2</v>
      </c>
    </row>
    <row r="38" spans="1:9" x14ac:dyDescent="0.3">
      <c r="A38" s="1" t="s">
        <v>20</v>
      </c>
      <c r="B38" s="1" t="s">
        <v>7</v>
      </c>
      <c r="C38" s="1" t="s">
        <v>8</v>
      </c>
      <c r="D38" s="1">
        <v>1119</v>
      </c>
      <c r="E38" s="1" t="s">
        <v>15</v>
      </c>
      <c r="F38" s="1" t="s">
        <v>13</v>
      </c>
      <c r="G38" s="1" t="str">
        <f t="shared" si="1"/>
        <v>🟢 STABLE</v>
      </c>
      <c r="H38" s="3">
        <v>46061</v>
      </c>
      <c r="I38" s="1">
        <f t="shared" si="0"/>
        <v>2</v>
      </c>
    </row>
    <row r="39" spans="1:9" x14ac:dyDescent="0.3">
      <c r="A39" s="1" t="s">
        <v>20</v>
      </c>
      <c r="B39" s="1" t="s">
        <v>19</v>
      </c>
      <c r="C39" s="1" t="s">
        <v>8</v>
      </c>
      <c r="D39" s="1">
        <v>888</v>
      </c>
      <c r="E39" s="1" t="s">
        <v>9</v>
      </c>
      <c r="F39" s="1" t="s">
        <v>16</v>
      </c>
      <c r="G39" s="1" t="str">
        <f t="shared" si="1"/>
        <v>🟢 STABLE</v>
      </c>
      <c r="H39" s="3">
        <v>46062</v>
      </c>
      <c r="I39" s="1">
        <f t="shared" si="0"/>
        <v>2</v>
      </c>
    </row>
    <row r="40" spans="1:9" x14ac:dyDescent="0.3">
      <c r="A40" s="1" t="s">
        <v>20</v>
      </c>
      <c r="B40" s="1" t="s">
        <v>17</v>
      </c>
      <c r="C40" s="1" t="s">
        <v>14</v>
      </c>
      <c r="D40" s="1">
        <v>1199</v>
      </c>
      <c r="E40" s="1" t="s">
        <v>12</v>
      </c>
      <c r="F40" s="1" t="s">
        <v>13</v>
      </c>
      <c r="G40" s="1" t="str">
        <f t="shared" si="1"/>
        <v>🟢 STABLE</v>
      </c>
      <c r="H40" s="3">
        <v>46063</v>
      </c>
      <c r="I40" s="1">
        <f t="shared" si="0"/>
        <v>3</v>
      </c>
    </row>
    <row r="41" spans="1:9" x14ac:dyDescent="0.3">
      <c r="A41" s="1" t="s">
        <v>20</v>
      </c>
      <c r="B41" s="1" t="s">
        <v>7</v>
      </c>
      <c r="C41" s="1" t="s">
        <v>8</v>
      </c>
      <c r="D41" s="1">
        <v>1374</v>
      </c>
      <c r="E41" s="1" t="s">
        <v>12</v>
      </c>
      <c r="F41" s="1" t="s">
        <v>13</v>
      </c>
      <c r="G41" s="1" t="str">
        <f t="shared" si="1"/>
        <v>🟢 STABLE</v>
      </c>
      <c r="H41" s="3">
        <v>46064</v>
      </c>
      <c r="I41" s="1">
        <f t="shared" si="0"/>
        <v>2</v>
      </c>
    </row>
    <row r="42" spans="1:9" x14ac:dyDescent="0.3">
      <c r="A42" s="1" t="s">
        <v>20</v>
      </c>
      <c r="B42" s="1" t="s">
        <v>17</v>
      </c>
      <c r="C42" s="1" t="s">
        <v>8</v>
      </c>
      <c r="D42" s="1">
        <v>1353</v>
      </c>
      <c r="E42" s="1" t="s">
        <v>12</v>
      </c>
      <c r="F42" s="1" t="s">
        <v>16</v>
      </c>
      <c r="G42" s="1" t="str">
        <f t="shared" si="1"/>
        <v>🟢 STABLE</v>
      </c>
      <c r="H42" s="3">
        <v>46065</v>
      </c>
      <c r="I42" s="1">
        <f t="shared" si="0"/>
        <v>3</v>
      </c>
    </row>
    <row r="43" spans="1:9" x14ac:dyDescent="0.3">
      <c r="A43" s="1" t="s">
        <v>20</v>
      </c>
      <c r="B43" s="1" t="s">
        <v>17</v>
      </c>
      <c r="C43" s="1" t="s">
        <v>8</v>
      </c>
      <c r="D43" s="1">
        <v>1272</v>
      </c>
      <c r="E43" s="1" t="s">
        <v>9</v>
      </c>
      <c r="F43" s="1" t="s">
        <v>13</v>
      </c>
      <c r="G43" s="1" t="str">
        <f t="shared" si="1"/>
        <v>🟢 STABLE</v>
      </c>
      <c r="H43" s="3">
        <v>46066</v>
      </c>
      <c r="I43" s="1">
        <f t="shared" si="0"/>
        <v>3</v>
      </c>
    </row>
    <row r="44" spans="1:9" x14ac:dyDescent="0.3">
      <c r="A44" s="1" t="s">
        <v>20</v>
      </c>
      <c r="B44" s="1" t="s">
        <v>19</v>
      </c>
      <c r="C44" s="1" t="s">
        <v>8</v>
      </c>
      <c r="D44" s="1">
        <v>1004</v>
      </c>
      <c r="E44" s="1" t="s">
        <v>9</v>
      </c>
      <c r="F44" s="1" t="s">
        <v>16</v>
      </c>
      <c r="G44" s="1" t="str">
        <f t="shared" si="1"/>
        <v>🟢 STABLE</v>
      </c>
      <c r="H44" s="3">
        <v>46067</v>
      </c>
      <c r="I44" s="1">
        <f t="shared" si="0"/>
        <v>2</v>
      </c>
    </row>
    <row r="45" spans="1:9" x14ac:dyDescent="0.3">
      <c r="A45" s="1" t="s">
        <v>20</v>
      </c>
      <c r="B45" s="1" t="s">
        <v>11</v>
      </c>
      <c r="C45" s="1" t="s">
        <v>8</v>
      </c>
      <c r="D45" s="1">
        <v>1328</v>
      </c>
      <c r="E45" s="1" t="s">
        <v>12</v>
      </c>
      <c r="F45" s="1" t="s">
        <v>13</v>
      </c>
      <c r="G45" s="1" t="str">
        <f t="shared" si="1"/>
        <v>🟢 STABLE</v>
      </c>
      <c r="H45" s="3">
        <v>46068</v>
      </c>
      <c r="I45" s="1">
        <f t="shared" si="0"/>
        <v>7</v>
      </c>
    </row>
    <row r="46" spans="1:9" x14ac:dyDescent="0.3">
      <c r="A46" s="1" t="s">
        <v>20</v>
      </c>
      <c r="B46" s="1" t="s">
        <v>17</v>
      </c>
      <c r="C46" s="1" t="s">
        <v>14</v>
      </c>
      <c r="D46" s="1">
        <v>1135</v>
      </c>
      <c r="E46" s="1" t="s">
        <v>15</v>
      </c>
      <c r="F46" s="1" t="s">
        <v>13</v>
      </c>
      <c r="G46" s="1" t="str">
        <f t="shared" si="1"/>
        <v>🟢 STABLE</v>
      </c>
      <c r="H46" s="3">
        <v>46069</v>
      </c>
      <c r="I46" s="1">
        <f t="shared" si="0"/>
        <v>3</v>
      </c>
    </row>
    <row r="47" spans="1:9" x14ac:dyDescent="0.3">
      <c r="A47" s="1" t="s">
        <v>20</v>
      </c>
      <c r="B47" s="1" t="s">
        <v>18</v>
      </c>
      <c r="C47" s="1" t="s">
        <v>14</v>
      </c>
      <c r="D47" s="1">
        <v>1328</v>
      </c>
      <c r="E47" s="1" t="s">
        <v>12</v>
      </c>
      <c r="F47" s="1" t="s">
        <v>13</v>
      </c>
      <c r="G47" s="1" t="str">
        <f t="shared" si="1"/>
        <v>🟢 STABLE</v>
      </c>
      <c r="H47" s="3">
        <v>46070</v>
      </c>
      <c r="I47" s="1">
        <f t="shared" si="0"/>
        <v>3</v>
      </c>
    </row>
    <row r="48" spans="1:9" x14ac:dyDescent="0.3">
      <c r="A48" s="1" t="s">
        <v>20</v>
      </c>
      <c r="B48" s="1" t="s">
        <v>7</v>
      </c>
      <c r="C48" s="1" t="s">
        <v>14</v>
      </c>
      <c r="D48" s="1">
        <v>1245</v>
      </c>
      <c r="E48" s="1" t="s">
        <v>9</v>
      </c>
      <c r="F48" s="1" t="s">
        <v>13</v>
      </c>
      <c r="G48" s="1" t="str">
        <f t="shared" si="1"/>
        <v>🟢 STABLE</v>
      </c>
      <c r="H48" s="3">
        <v>46071</v>
      </c>
      <c r="I48" s="1">
        <f t="shared" si="0"/>
        <v>2</v>
      </c>
    </row>
    <row r="49" spans="1:9" x14ac:dyDescent="0.3">
      <c r="A49" s="1" t="s">
        <v>20</v>
      </c>
      <c r="B49" s="1" t="s">
        <v>18</v>
      </c>
      <c r="C49" s="1" t="s">
        <v>14</v>
      </c>
      <c r="D49" s="1">
        <v>850</v>
      </c>
      <c r="E49" s="1" t="s">
        <v>9</v>
      </c>
      <c r="F49" s="1" t="s">
        <v>13</v>
      </c>
      <c r="G49" s="1" t="str">
        <f t="shared" si="1"/>
        <v>🟢 STABLE</v>
      </c>
      <c r="H49" s="3">
        <v>46072</v>
      </c>
      <c r="I49" s="1">
        <f t="shared" si="0"/>
        <v>3</v>
      </c>
    </row>
    <row r="50" spans="1:9" x14ac:dyDescent="0.3">
      <c r="A50" s="1" t="s">
        <v>20</v>
      </c>
      <c r="B50" s="1" t="s">
        <v>18</v>
      </c>
      <c r="C50" s="1" t="s">
        <v>14</v>
      </c>
      <c r="D50" s="1">
        <v>1187</v>
      </c>
      <c r="E50" s="1" t="s">
        <v>9</v>
      </c>
      <c r="F50" s="1" t="s">
        <v>13</v>
      </c>
      <c r="G50" s="1" t="str">
        <f t="shared" si="1"/>
        <v>🟢 STABLE</v>
      </c>
      <c r="H50" s="3">
        <v>46073</v>
      </c>
      <c r="I50" s="1">
        <f t="shared" si="0"/>
        <v>3</v>
      </c>
    </row>
    <row r="51" spans="1:9" x14ac:dyDescent="0.3">
      <c r="A51" s="1" t="s">
        <v>20</v>
      </c>
      <c r="B51" s="1" t="s">
        <v>18</v>
      </c>
      <c r="C51" s="1" t="s">
        <v>14</v>
      </c>
      <c r="D51" s="1">
        <v>1239</v>
      </c>
      <c r="E51" s="1" t="s">
        <v>9</v>
      </c>
      <c r="F51" s="1" t="s">
        <v>16</v>
      </c>
      <c r="G51" s="1" t="str">
        <f t="shared" si="1"/>
        <v>🟢 STABLE</v>
      </c>
      <c r="H51" s="3">
        <v>46074</v>
      </c>
      <c r="I51" s="1">
        <f t="shared" si="0"/>
        <v>3</v>
      </c>
    </row>
    <row r="52" spans="1:9" x14ac:dyDescent="0.3">
      <c r="A52" s="1" t="s">
        <v>20</v>
      </c>
      <c r="B52" s="1" t="s">
        <v>19</v>
      </c>
      <c r="C52" s="1" t="s">
        <v>8</v>
      </c>
      <c r="D52" s="1">
        <v>1303</v>
      </c>
      <c r="E52" s="1" t="s">
        <v>9</v>
      </c>
      <c r="F52" s="1" t="s">
        <v>10</v>
      </c>
      <c r="G52" s="1" t="str">
        <f t="shared" si="1"/>
        <v>🔴 CRITICAL</v>
      </c>
      <c r="H52" s="3">
        <v>46075</v>
      </c>
      <c r="I52" s="1">
        <f t="shared" si="0"/>
        <v>2</v>
      </c>
    </row>
    <row r="53" spans="1:9" x14ac:dyDescent="0.3">
      <c r="A53" s="1" t="s">
        <v>20</v>
      </c>
      <c r="B53" s="1" t="s">
        <v>17</v>
      </c>
      <c r="C53" s="1" t="s">
        <v>8</v>
      </c>
      <c r="D53" s="1">
        <v>1348</v>
      </c>
      <c r="E53" s="1" t="s">
        <v>15</v>
      </c>
      <c r="F53" s="1" t="s">
        <v>16</v>
      </c>
      <c r="G53" s="1" t="str">
        <f t="shared" si="1"/>
        <v>🟢 STABLE</v>
      </c>
      <c r="H53" s="3">
        <v>46076</v>
      </c>
      <c r="I53" s="1">
        <f t="shared" si="0"/>
        <v>3</v>
      </c>
    </row>
    <row r="54" spans="1:9" x14ac:dyDescent="0.3">
      <c r="A54" s="1" t="s">
        <v>20</v>
      </c>
      <c r="B54" s="1" t="s">
        <v>17</v>
      </c>
      <c r="C54" s="1" t="s">
        <v>8</v>
      </c>
      <c r="D54" s="1">
        <v>1245</v>
      </c>
      <c r="E54" s="1" t="s">
        <v>9</v>
      </c>
      <c r="F54" s="1" t="s">
        <v>16</v>
      </c>
      <c r="G54" s="1" t="str">
        <f t="shared" si="1"/>
        <v>🟢 STABLE</v>
      </c>
      <c r="H54" s="3">
        <v>46077</v>
      </c>
      <c r="I54" s="1">
        <f t="shared" si="0"/>
        <v>3</v>
      </c>
    </row>
    <row r="55" spans="1:9" x14ac:dyDescent="0.3">
      <c r="A55" s="1" t="s">
        <v>20</v>
      </c>
      <c r="B55" s="1" t="s">
        <v>11</v>
      </c>
      <c r="C55" s="1" t="s">
        <v>14</v>
      </c>
      <c r="D55" s="1">
        <v>1132</v>
      </c>
      <c r="E55" s="1" t="s">
        <v>9</v>
      </c>
      <c r="F55" s="1" t="s">
        <v>13</v>
      </c>
      <c r="G55" s="1" t="str">
        <f t="shared" si="1"/>
        <v>🟢 STABLE</v>
      </c>
      <c r="H55" s="3">
        <v>46078</v>
      </c>
      <c r="I55" s="1">
        <f t="shared" si="0"/>
        <v>7</v>
      </c>
    </row>
    <row r="56" spans="1:9" x14ac:dyDescent="0.3">
      <c r="A56" s="1" t="s">
        <v>20</v>
      </c>
      <c r="B56" s="1" t="s">
        <v>7</v>
      </c>
      <c r="C56" s="1" t="s">
        <v>14</v>
      </c>
      <c r="D56" s="1">
        <v>885</v>
      </c>
      <c r="E56" s="1" t="s">
        <v>12</v>
      </c>
      <c r="F56" s="1" t="s">
        <v>13</v>
      </c>
      <c r="G56" s="1" t="str">
        <f t="shared" si="1"/>
        <v>🟢 STABLE</v>
      </c>
      <c r="H56" s="3">
        <v>46079</v>
      </c>
      <c r="I56" s="1">
        <f t="shared" si="0"/>
        <v>2</v>
      </c>
    </row>
    <row r="57" spans="1:9" x14ac:dyDescent="0.3">
      <c r="A57" s="1" t="s">
        <v>20</v>
      </c>
      <c r="B57" s="1" t="s">
        <v>7</v>
      </c>
      <c r="C57" s="1" t="s">
        <v>14</v>
      </c>
      <c r="D57" s="1">
        <v>1138</v>
      </c>
      <c r="E57" s="1" t="s">
        <v>12</v>
      </c>
      <c r="F57" s="1" t="s">
        <v>16</v>
      </c>
      <c r="G57" s="1" t="str">
        <f t="shared" si="1"/>
        <v>🟢 STABLE</v>
      </c>
      <c r="H57" s="3">
        <v>46080</v>
      </c>
      <c r="I57" s="1">
        <f t="shared" si="0"/>
        <v>2</v>
      </c>
    </row>
    <row r="58" spans="1:9" x14ac:dyDescent="0.3">
      <c r="A58" s="1" t="s">
        <v>20</v>
      </c>
      <c r="B58" s="1" t="s">
        <v>7</v>
      </c>
      <c r="C58" s="1" t="s">
        <v>8</v>
      </c>
      <c r="D58" s="1">
        <v>1030</v>
      </c>
      <c r="E58" s="1" t="s">
        <v>12</v>
      </c>
      <c r="F58" s="1" t="s">
        <v>13</v>
      </c>
      <c r="G58" s="1" t="str">
        <f t="shared" si="1"/>
        <v>🟢 STABLE</v>
      </c>
      <c r="H58" s="3">
        <v>46081</v>
      </c>
      <c r="I58" s="1">
        <f t="shared" si="0"/>
        <v>2</v>
      </c>
    </row>
    <row r="59" spans="1:9" x14ac:dyDescent="0.3">
      <c r="A59" s="1" t="s">
        <v>20</v>
      </c>
      <c r="B59" s="1" t="s">
        <v>17</v>
      </c>
      <c r="C59" s="1" t="s">
        <v>8</v>
      </c>
      <c r="D59" s="1">
        <v>862</v>
      </c>
      <c r="E59" s="1" t="s">
        <v>15</v>
      </c>
      <c r="F59" s="1" t="s">
        <v>13</v>
      </c>
      <c r="G59" s="1" t="str">
        <f t="shared" si="1"/>
        <v>🟢 STABLE</v>
      </c>
      <c r="H59" s="3">
        <v>46082</v>
      </c>
      <c r="I59" s="1">
        <f t="shared" si="0"/>
        <v>3</v>
      </c>
    </row>
    <row r="60" spans="1:9" x14ac:dyDescent="0.3">
      <c r="A60" s="1" t="s">
        <v>20</v>
      </c>
      <c r="B60" s="1" t="s">
        <v>7</v>
      </c>
      <c r="C60" s="1" t="s">
        <v>14</v>
      </c>
      <c r="D60" s="1">
        <v>1005</v>
      </c>
      <c r="E60" s="1" t="s">
        <v>15</v>
      </c>
      <c r="F60" s="1" t="s">
        <v>13</v>
      </c>
      <c r="G60" s="1" t="str">
        <f t="shared" si="1"/>
        <v>🟢 STABLE</v>
      </c>
      <c r="H60" s="3">
        <v>46083</v>
      </c>
      <c r="I60" s="1">
        <f t="shared" si="0"/>
        <v>2</v>
      </c>
    </row>
    <row r="61" spans="1:9" x14ac:dyDescent="0.3">
      <c r="A61" s="1" t="s">
        <v>21</v>
      </c>
      <c r="B61" s="1" t="s">
        <v>7</v>
      </c>
      <c r="C61" s="1" t="s">
        <v>8</v>
      </c>
      <c r="D61" s="1">
        <v>1061</v>
      </c>
      <c r="E61" s="1" t="s">
        <v>9</v>
      </c>
      <c r="F61" s="1" t="s">
        <v>16</v>
      </c>
      <c r="G61" s="1" t="str">
        <f t="shared" si="1"/>
        <v>🟢 STABLE</v>
      </c>
      <c r="H61" s="3">
        <v>46084</v>
      </c>
      <c r="I61" s="1">
        <f t="shared" si="0"/>
        <v>2</v>
      </c>
    </row>
    <row r="62" spans="1:9" x14ac:dyDescent="0.3">
      <c r="A62" s="1" t="s">
        <v>21</v>
      </c>
      <c r="B62" s="1" t="s">
        <v>7</v>
      </c>
      <c r="C62" s="1" t="s">
        <v>8</v>
      </c>
      <c r="D62" s="1">
        <v>1287</v>
      </c>
      <c r="E62" s="1" t="s">
        <v>9</v>
      </c>
      <c r="F62" s="1" t="s">
        <v>16</v>
      </c>
      <c r="G62" s="1" t="str">
        <f t="shared" si="1"/>
        <v>🟢 STABLE</v>
      </c>
      <c r="H62" s="3">
        <v>46085</v>
      </c>
      <c r="I62" s="1">
        <f t="shared" si="0"/>
        <v>2</v>
      </c>
    </row>
    <row r="63" spans="1:9" x14ac:dyDescent="0.3">
      <c r="A63" s="1" t="s">
        <v>21</v>
      </c>
      <c r="B63" s="1" t="s">
        <v>7</v>
      </c>
      <c r="C63" s="1" t="s">
        <v>14</v>
      </c>
      <c r="D63" s="1">
        <v>1023</v>
      </c>
      <c r="E63" s="1" t="s">
        <v>12</v>
      </c>
      <c r="F63" s="1" t="s">
        <v>16</v>
      </c>
      <c r="G63" s="1" t="str">
        <f t="shared" si="1"/>
        <v>🟢 STABLE</v>
      </c>
      <c r="H63" s="3">
        <v>46086</v>
      </c>
      <c r="I63" s="1">
        <f t="shared" si="0"/>
        <v>2</v>
      </c>
    </row>
    <row r="64" spans="1:9" x14ac:dyDescent="0.3">
      <c r="A64" s="1" t="s">
        <v>21</v>
      </c>
      <c r="B64" s="1" t="s">
        <v>19</v>
      </c>
      <c r="C64" s="1" t="s">
        <v>14</v>
      </c>
      <c r="D64" s="1">
        <v>1271</v>
      </c>
      <c r="E64" s="1" t="s">
        <v>12</v>
      </c>
      <c r="F64" s="1" t="s">
        <v>13</v>
      </c>
      <c r="G64" s="1" t="str">
        <f t="shared" si="1"/>
        <v>🟢 STABLE</v>
      </c>
      <c r="H64" s="3">
        <v>46087</v>
      </c>
      <c r="I64" s="1">
        <f t="shared" si="0"/>
        <v>2</v>
      </c>
    </row>
    <row r="65" spans="1:9" x14ac:dyDescent="0.3">
      <c r="A65" s="1" t="s">
        <v>21</v>
      </c>
      <c r="B65" s="1" t="s">
        <v>11</v>
      </c>
      <c r="C65" s="1" t="s">
        <v>14</v>
      </c>
      <c r="D65" s="1">
        <v>992</v>
      </c>
      <c r="E65" s="1" t="s">
        <v>15</v>
      </c>
      <c r="F65" s="1" t="s">
        <v>13</v>
      </c>
      <c r="G65" s="1" t="str">
        <f t="shared" si="1"/>
        <v>🟢 STABLE</v>
      </c>
      <c r="H65" s="3">
        <v>46088</v>
      </c>
      <c r="I65" s="1">
        <f t="shared" si="0"/>
        <v>7</v>
      </c>
    </row>
    <row r="66" spans="1:9" x14ac:dyDescent="0.3">
      <c r="A66" s="1" t="s">
        <v>21</v>
      </c>
      <c r="B66" s="1" t="s">
        <v>18</v>
      </c>
      <c r="C66" s="1" t="s">
        <v>8</v>
      </c>
      <c r="D66" s="1">
        <v>1062</v>
      </c>
      <c r="E66" s="1" t="s">
        <v>9</v>
      </c>
      <c r="F66" s="1" t="s">
        <v>16</v>
      </c>
      <c r="G66" s="1" t="str">
        <f t="shared" si="1"/>
        <v>🟢 STABLE</v>
      </c>
      <c r="H66" s="3">
        <v>46089</v>
      </c>
      <c r="I66" s="1">
        <f t="shared" si="0"/>
        <v>3</v>
      </c>
    </row>
    <row r="67" spans="1:9" x14ac:dyDescent="0.3">
      <c r="A67" s="1" t="s">
        <v>21</v>
      </c>
      <c r="B67" s="1" t="s">
        <v>19</v>
      </c>
      <c r="C67" s="1" t="s">
        <v>8</v>
      </c>
      <c r="D67" s="1">
        <v>1292</v>
      </c>
      <c r="E67" s="1" t="s">
        <v>9</v>
      </c>
      <c r="F67" s="1" t="s">
        <v>13</v>
      </c>
      <c r="G67" s="1" t="str">
        <f t="shared" si="1"/>
        <v>🟢 STABLE</v>
      </c>
      <c r="H67" s="3">
        <v>46090</v>
      </c>
      <c r="I67" s="1">
        <f t="shared" ref="I67:I130" si="2">COUNTIFS(B:B, B67, F:F, "Shortage")</f>
        <v>2</v>
      </c>
    </row>
    <row r="68" spans="1:9" x14ac:dyDescent="0.3">
      <c r="A68" s="1" t="s">
        <v>21</v>
      </c>
      <c r="B68" s="1" t="s">
        <v>19</v>
      </c>
      <c r="C68" s="1" t="s">
        <v>14</v>
      </c>
      <c r="D68" s="1">
        <v>1154</v>
      </c>
      <c r="E68" s="1" t="s">
        <v>9</v>
      </c>
      <c r="F68" s="1" t="s">
        <v>13</v>
      </c>
      <c r="G68" s="1" t="str">
        <f t="shared" ref="G68:G91" si="3">IF(F68="Shortage", "🔴 CRITICAL", "🟢 STABLE")</f>
        <v>🟢 STABLE</v>
      </c>
      <c r="H68" s="3">
        <v>46091</v>
      </c>
      <c r="I68" s="1">
        <f t="shared" si="2"/>
        <v>2</v>
      </c>
    </row>
    <row r="69" spans="1:9" x14ac:dyDescent="0.3">
      <c r="A69" s="1" t="s">
        <v>21</v>
      </c>
      <c r="B69" s="1" t="s">
        <v>19</v>
      </c>
      <c r="C69" s="1" t="s">
        <v>8</v>
      </c>
      <c r="D69" s="1">
        <v>1218</v>
      </c>
      <c r="E69" s="1" t="s">
        <v>15</v>
      </c>
      <c r="F69" s="1" t="s">
        <v>13</v>
      </c>
      <c r="G69" s="1" t="str">
        <f t="shared" si="3"/>
        <v>🟢 STABLE</v>
      </c>
      <c r="H69" s="3">
        <v>46092</v>
      </c>
      <c r="I69" s="1">
        <f t="shared" si="2"/>
        <v>2</v>
      </c>
    </row>
    <row r="70" spans="1:9" x14ac:dyDescent="0.3">
      <c r="A70" s="1" t="s">
        <v>21</v>
      </c>
      <c r="B70" s="1" t="s">
        <v>11</v>
      </c>
      <c r="C70" s="1" t="s">
        <v>8</v>
      </c>
      <c r="D70" s="1">
        <v>1146</v>
      </c>
      <c r="E70" s="1" t="s">
        <v>12</v>
      </c>
      <c r="F70" s="1" t="s">
        <v>16</v>
      </c>
      <c r="G70" s="1" t="str">
        <f t="shared" si="3"/>
        <v>🟢 STABLE</v>
      </c>
      <c r="H70" s="3">
        <v>46093</v>
      </c>
      <c r="I70" s="1">
        <f t="shared" si="2"/>
        <v>7</v>
      </c>
    </row>
    <row r="71" spans="1:9" x14ac:dyDescent="0.3">
      <c r="A71" s="1" t="s">
        <v>21</v>
      </c>
      <c r="B71" s="1" t="s">
        <v>18</v>
      </c>
      <c r="C71" s="1" t="s">
        <v>14</v>
      </c>
      <c r="D71" s="1">
        <v>1021</v>
      </c>
      <c r="E71" s="1" t="s">
        <v>12</v>
      </c>
      <c r="F71" s="1" t="s">
        <v>13</v>
      </c>
      <c r="G71" s="1" t="str">
        <f t="shared" si="3"/>
        <v>🟢 STABLE</v>
      </c>
      <c r="H71" s="3">
        <v>46094</v>
      </c>
      <c r="I71" s="1">
        <f t="shared" si="2"/>
        <v>3</v>
      </c>
    </row>
    <row r="72" spans="1:9" x14ac:dyDescent="0.3">
      <c r="A72" s="1" t="s">
        <v>21</v>
      </c>
      <c r="B72" s="1" t="s">
        <v>18</v>
      </c>
      <c r="C72" s="1" t="s">
        <v>14</v>
      </c>
      <c r="D72" s="1">
        <v>1117</v>
      </c>
      <c r="E72" s="1" t="s">
        <v>15</v>
      </c>
      <c r="F72" s="1" t="s">
        <v>13</v>
      </c>
      <c r="G72" s="1" t="str">
        <f t="shared" si="3"/>
        <v>🟢 STABLE</v>
      </c>
      <c r="H72" s="3">
        <v>46095</v>
      </c>
      <c r="I72" s="1">
        <f t="shared" si="2"/>
        <v>3</v>
      </c>
    </row>
    <row r="73" spans="1:9" x14ac:dyDescent="0.3">
      <c r="A73" s="1" t="s">
        <v>21</v>
      </c>
      <c r="B73" s="1" t="s">
        <v>18</v>
      </c>
      <c r="C73" s="1" t="s">
        <v>14</v>
      </c>
      <c r="D73" s="1">
        <v>1325</v>
      </c>
      <c r="E73" s="1" t="s">
        <v>15</v>
      </c>
      <c r="F73" s="1" t="s">
        <v>13</v>
      </c>
      <c r="G73" s="1" t="str">
        <f t="shared" si="3"/>
        <v>🟢 STABLE</v>
      </c>
      <c r="H73" s="3">
        <v>46096</v>
      </c>
      <c r="I73" s="1">
        <f t="shared" si="2"/>
        <v>3</v>
      </c>
    </row>
    <row r="74" spans="1:9" x14ac:dyDescent="0.3">
      <c r="A74" s="1" t="s">
        <v>21</v>
      </c>
      <c r="B74" s="1" t="s">
        <v>17</v>
      </c>
      <c r="C74" s="1" t="s">
        <v>8</v>
      </c>
      <c r="D74" s="1">
        <v>1223</v>
      </c>
      <c r="E74" s="1" t="s">
        <v>12</v>
      </c>
      <c r="F74" s="1" t="s">
        <v>10</v>
      </c>
      <c r="G74" s="1" t="str">
        <f t="shared" si="3"/>
        <v>🔴 CRITICAL</v>
      </c>
      <c r="H74" s="3">
        <v>46097</v>
      </c>
      <c r="I74" s="1">
        <f t="shared" si="2"/>
        <v>3</v>
      </c>
    </row>
    <row r="75" spans="1:9" x14ac:dyDescent="0.3">
      <c r="A75" s="1" t="s">
        <v>21</v>
      </c>
      <c r="B75" s="1" t="s">
        <v>7</v>
      </c>
      <c r="C75" s="1" t="s">
        <v>14</v>
      </c>
      <c r="D75" s="1">
        <v>1370</v>
      </c>
      <c r="E75" s="1" t="s">
        <v>12</v>
      </c>
      <c r="F75" s="1" t="s">
        <v>13</v>
      </c>
      <c r="G75" s="1" t="str">
        <f t="shared" si="3"/>
        <v>🟢 STABLE</v>
      </c>
      <c r="H75" s="3">
        <v>46098</v>
      </c>
      <c r="I75" s="1">
        <f t="shared" si="2"/>
        <v>2</v>
      </c>
    </row>
    <row r="76" spans="1:9" x14ac:dyDescent="0.3">
      <c r="A76" s="1" t="s">
        <v>21</v>
      </c>
      <c r="B76" s="1" t="s">
        <v>7</v>
      </c>
      <c r="C76" s="1" t="s">
        <v>14</v>
      </c>
      <c r="D76" s="1">
        <v>1177</v>
      </c>
      <c r="E76" s="1" t="s">
        <v>12</v>
      </c>
      <c r="F76" s="1" t="s">
        <v>13</v>
      </c>
      <c r="G76" s="1" t="str">
        <f t="shared" si="3"/>
        <v>🟢 STABLE</v>
      </c>
      <c r="H76" s="3">
        <v>46099</v>
      </c>
      <c r="I76" s="1">
        <f t="shared" si="2"/>
        <v>2</v>
      </c>
    </row>
    <row r="77" spans="1:9" x14ac:dyDescent="0.3">
      <c r="A77" s="1" t="s">
        <v>21</v>
      </c>
      <c r="B77" s="1" t="s">
        <v>7</v>
      </c>
      <c r="C77" s="1" t="s">
        <v>8</v>
      </c>
      <c r="D77" s="1">
        <v>871</v>
      </c>
      <c r="E77" s="1" t="s">
        <v>9</v>
      </c>
      <c r="F77" s="1" t="s">
        <v>16</v>
      </c>
      <c r="G77" s="1" t="str">
        <f t="shared" si="3"/>
        <v>🟢 STABLE</v>
      </c>
      <c r="H77" s="3">
        <v>46100</v>
      </c>
      <c r="I77" s="1">
        <f t="shared" si="2"/>
        <v>2</v>
      </c>
    </row>
    <row r="78" spans="1:9" x14ac:dyDescent="0.3">
      <c r="A78" s="1" t="s">
        <v>21</v>
      </c>
      <c r="B78" s="1" t="s">
        <v>11</v>
      </c>
      <c r="C78" s="1" t="s">
        <v>8</v>
      </c>
      <c r="D78" s="1">
        <v>948</v>
      </c>
      <c r="E78" s="1" t="s">
        <v>12</v>
      </c>
      <c r="F78" s="1" t="s">
        <v>10</v>
      </c>
      <c r="G78" s="1" t="str">
        <f t="shared" si="3"/>
        <v>🔴 CRITICAL</v>
      </c>
      <c r="H78" s="3">
        <v>46101</v>
      </c>
      <c r="I78" s="1">
        <f t="shared" si="2"/>
        <v>7</v>
      </c>
    </row>
    <row r="79" spans="1:9" x14ac:dyDescent="0.3">
      <c r="A79" s="1" t="s">
        <v>21</v>
      </c>
      <c r="B79" s="1" t="s">
        <v>11</v>
      </c>
      <c r="C79" s="1" t="s">
        <v>8</v>
      </c>
      <c r="D79" s="1">
        <v>1116</v>
      </c>
      <c r="E79" s="1" t="s">
        <v>15</v>
      </c>
      <c r="F79" s="1" t="s">
        <v>13</v>
      </c>
      <c r="G79" s="1" t="str">
        <f t="shared" si="3"/>
        <v>🟢 STABLE</v>
      </c>
      <c r="H79" s="3">
        <v>46102</v>
      </c>
      <c r="I79" s="1">
        <f t="shared" si="2"/>
        <v>7</v>
      </c>
    </row>
    <row r="80" spans="1:9" x14ac:dyDescent="0.3">
      <c r="A80" s="1" t="s">
        <v>21</v>
      </c>
      <c r="B80" s="1" t="s">
        <v>19</v>
      </c>
      <c r="C80" s="1" t="s">
        <v>14</v>
      </c>
      <c r="D80" s="1">
        <v>1095</v>
      </c>
      <c r="E80" s="1" t="s">
        <v>15</v>
      </c>
      <c r="F80" s="1" t="s">
        <v>13</v>
      </c>
      <c r="G80" s="1" t="str">
        <f t="shared" si="3"/>
        <v>🟢 STABLE</v>
      </c>
      <c r="H80" s="3">
        <v>46103</v>
      </c>
      <c r="I80" s="1">
        <f t="shared" si="2"/>
        <v>2</v>
      </c>
    </row>
    <row r="81" spans="1:9" x14ac:dyDescent="0.3">
      <c r="A81" s="1" t="s">
        <v>21</v>
      </c>
      <c r="B81" s="1" t="s">
        <v>18</v>
      </c>
      <c r="C81" s="1" t="s">
        <v>8</v>
      </c>
      <c r="D81" s="1">
        <v>1064</v>
      </c>
      <c r="E81" s="1" t="s">
        <v>12</v>
      </c>
      <c r="F81" s="1" t="s">
        <v>13</v>
      </c>
      <c r="G81" s="1" t="str">
        <f t="shared" si="3"/>
        <v>🟢 STABLE</v>
      </c>
      <c r="H81" s="3">
        <v>46104</v>
      </c>
      <c r="I81" s="1">
        <f t="shared" si="2"/>
        <v>3</v>
      </c>
    </row>
    <row r="82" spans="1:9" x14ac:dyDescent="0.3">
      <c r="A82" s="1" t="s">
        <v>21</v>
      </c>
      <c r="B82" s="1" t="s">
        <v>7</v>
      </c>
      <c r="C82" s="1" t="s">
        <v>14</v>
      </c>
      <c r="D82" s="1">
        <v>1203</v>
      </c>
      <c r="E82" s="1" t="s">
        <v>9</v>
      </c>
      <c r="F82" s="1" t="s">
        <v>13</v>
      </c>
      <c r="G82" s="1" t="str">
        <f t="shared" si="3"/>
        <v>🟢 STABLE</v>
      </c>
      <c r="H82" s="3">
        <v>46105</v>
      </c>
      <c r="I82" s="1">
        <f t="shared" si="2"/>
        <v>2</v>
      </c>
    </row>
    <row r="83" spans="1:9" x14ac:dyDescent="0.3">
      <c r="A83" s="1" t="s">
        <v>21</v>
      </c>
      <c r="B83" s="1" t="s">
        <v>19</v>
      </c>
      <c r="C83" s="1" t="s">
        <v>14</v>
      </c>
      <c r="D83" s="1">
        <v>1205</v>
      </c>
      <c r="E83" s="1" t="s">
        <v>12</v>
      </c>
      <c r="F83" s="1" t="s">
        <v>13</v>
      </c>
      <c r="G83" s="1" t="str">
        <f t="shared" si="3"/>
        <v>🟢 STABLE</v>
      </c>
      <c r="H83" s="3">
        <v>46106</v>
      </c>
      <c r="I83" s="1">
        <f t="shared" si="2"/>
        <v>2</v>
      </c>
    </row>
    <row r="84" spans="1:9" x14ac:dyDescent="0.3">
      <c r="A84" s="1" t="s">
        <v>21</v>
      </c>
      <c r="B84" s="1" t="s">
        <v>19</v>
      </c>
      <c r="C84" s="1" t="s">
        <v>8</v>
      </c>
      <c r="D84" s="1">
        <v>1261</v>
      </c>
      <c r="E84" s="1" t="s">
        <v>15</v>
      </c>
      <c r="F84" s="1" t="s">
        <v>16</v>
      </c>
      <c r="G84" s="1" t="str">
        <f t="shared" si="3"/>
        <v>🟢 STABLE</v>
      </c>
      <c r="H84" s="3">
        <v>46107</v>
      </c>
      <c r="I84" s="1">
        <f t="shared" si="2"/>
        <v>2</v>
      </c>
    </row>
    <row r="85" spans="1:9" x14ac:dyDescent="0.3">
      <c r="A85" s="1" t="s">
        <v>21</v>
      </c>
      <c r="B85" s="1" t="s">
        <v>18</v>
      </c>
      <c r="C85" s="1" t="s">
        <v>14</v>
      </c>
      <c r="D85" s="1">
        <v>1255</v>
      </c>
      <c r="E85" s="1" t="s">
        <v>9</v>
      </c>
      <c r="F85" s="1" t="s">
        <v>16</v>
      </c>
      <c r="G85" s="1" t="str">
        <f t="shared" si="3"/>
        <v>🟢 STABLE</v>
      </c>
      <c r="H85" s="3">
        <v>46108</v>
      </c>
      <c r="I85" s="1">
        <f t="shared" si="2"/>
        <v>3</v>
      </c>
    </row>
    <row r="86" spans="1:9" x14ac:dyDescent="0.3">
      <c r="A86" s="1" t="s">
        <v>21</v>
      </c>
      <c r="B86" s="1" t="s">
        <v>19</v>
      </c>
      <c r="C86" s="1" t="s">
        <v>8</v>
      </c>
      <c r="D86" s="1">
        <v>1200</v>
      </c>
      <c r="E86" s="1" t="s">
        <v>9</v>
      </c>
      <c r="F86" s="1" t="s">
        <v>13</v>
      </c>
      <c r="G86" s="1" t="str">
        <f t="shared" si="3"/>
        <v>🟢 STABLE</v>
      </c>
      <c r="H86" s="3">
        <v>46109</v>
      </c>
      <c r="I86" s="1">
        <f t="shared" si="2"/>
        <v>2</v>
      </c>
    </row>
    <row r="87" spans="1:9" x14ac:dyDescent="0.3">
      <c r="A87" s="1" t="s">
        <v>21</v>
      </c>
      <c r="B87" s="1" t="s">
        <v>19</v>
      </c>
      <c r="C87" s="1" t="s">
        <v>14</v>
      </c>
      <c r="D87" s="1">
        <v>1122</v>
      </c>
      <c r="E87" s="1" t="s">
        <v>12</v>
      </c>
      <c r="F87" s="1" t="s">
        <v>13</v>
      </c>
      <c r="G87" s="1" t="str">
        <f t="shared" si="3"/>
        <v>🟢 STABLE</v>
      </c>
      <c r="H87" s="3">
        <v>46110</v>
      </c>
      <c r="I87" s="1">
        <f t="shared" si="2"/>
        <v>2</v>
      </c>
    </row>
    <row r="88" spans="1:9" x14ac:dyDescent="0.3">
      <c r="A88" s="1" t="s">
        <v>21</v>
      </c>
      <c r="B88" s="1" t="s">
        <v>18</v>
      </c>
      <c r="C88" s="1" t="s">
        <v>8</v>
      </c>
      <c r="D88" s="1">
        <v>1110</v>
      </c>
      <c r="E88" s="1" t="s">
        <v>15</v>
      </c>
      <c r="F88" s="1" t="s">
        <v>13</v>
      </c>
      <c r="G88" s="1" t="str">
        <f t="shared" si="3"/>
        <v>🟢 STABLE</v>
      </c>
      <c r="H88" s="3">
        <v>46111</v>
      </c>
      <c r="I88" s="1">
        <f t="shared" si="2"/>
        <v>3</v>
      </c>
    </row>
    <row r="89" spans="1:9" x14ac:dyDescent="0.3">
      <c r="A89" s="1" t="s">
        <v>21</v>
      </c>
      <c r="B89" s="1" t="s">
        <v>18</v>
      </c>
      <c r="C89" s="1" t="s">
        <v>14</v>
      </c>
      <c r="D89" s="1">
        <v>964</v>
      </c>
      <c r="E89" s="1" t="s">
        <v>15</v>
      </c>
      <c r="F89" s="1" t="s">
        <v>16</v>
      </c>
      <c r="G89" s="1" t="str">
        <f t="shared" si="3"/>
        <v>🟢 STABLE</v>
      </c>
      <c r="H89" s="3">
        <v>46112</v>
      </c>
      <c r="I89" s="1">
        <f t="shared" si="2"/>
        <v>3</v>
      </c>
    </row>
    <row r="90" spans="1:9" x14ac:dyDescent="0.3">
      <c r="A90" s="1" t="s">
        <v>21</v>
      </c>
      <c r="B90" s="1" t="s">
        <v>11</v>
      </c>
      <c r="C90" s="1" t="s">
        <v>8</v>
      </c>
      <c r="D90" s="1">
        <v>919</v>
      </c>
      <c r="E90" s="1" t="s">
        <v>12</v>
      </c>
      <c r="F90" s="1" t="s">
        <v>10</v>
      </c>
      <c r="G90" s="1" t="str">
        <f t="shared" si="3"/>
        <v>🔴 CRITICAL</v>
      </c>
      <c r="H90" s="3">
        <v>46113</v>
      </c>
      <c r="I90" s="1">
        <f t="shared" si="2"/>
        <v>7</v>
      </c>
    </row>
    <row r="91" spans="1:9" x14ac:dyDescent="0.3">
      <c r="A91" s="1" t="s">
        <v>21</v>
      </c>
      <c r="B91" s="1" t="s">
        <v>11</v>
      </c>
      <c r="C91" s="1" t="s">
        <v>14</v>
      </c>
      <c r="D91" s="1">
        <v>1003</v>
      </c>
      <c r="E91" s="1" t="s">
        <v>12</v>
      </c>
      <c r="F91" s="1" t="s">
        <v>10</v>
      </c>
      <c r="G91" s="1" t="str">
        <f t="shared" si="3"/>
        <v>🔴 CRITICAL</v>
      </c>
      <c r="H91" s="3">
        <v>46114</v>
      </c>
      <c r="I91" s="1">
        <f t="shared" si="2"/>
        <v>7</v>
      </c>
    </row>
    <row r="92" spans="1:9" x14ac:dyDescent="0.3">
      <c r="A92" s="1" t="s">
        <v>6</v>
      </c>
      <c r="B92" s="1" t="s">
        <v>11</v>
      </c>
      <c r="C92" s="1" t="s">
        <v>14</v>
      </c>
      <c r="D92" s="1">
        <v>1184</v>
      </c>
      <c r="E92" s="1" t="s">
        <v>12</v>
      </c>
      <c r="F92" s="1" t="s">
        <v>13</v>
      </c>
      <c r="G92" s="1" t="str">
        <f>IF(F92="Shortage", "🔴 CRITICAL", "🟢 STABLE")</f>
        <v>🟢 STABLE</v>
      </c>
      <c r="H92" s="3">
        <v>46115</v>
      </c>
      <c r="I92" s="1">
        <f t="shared" si="2"/>
        <v>7</v>
      </c>
    </row>
    <row r="93" spans="1:9" x14ac:dyDescent="0.3">
      <c r="A93" s="1" t="s">
        <v>6</v>
      </c>
      <c r="B93" s="1" t="s">
        <v>17</v>
      </c>
      <c r="C93" s="1" t="s">
        <v>14</v>
      </c>
      <c r="D93" s="1">
        <v>999</v>
      </c>
      <c r="E93" s="1" t="s">
        <v>12</v>
      </c>
      <c r="F93" s="1" t="s">
        <v>16</v>
      </c>
      <c r="G93" s="1" t="str">
        <f>IF(F93="Shortage", "🔴 CRITICAL", "🟢 STABLE")</f>
        <v>🟢 STABLE</v>
      </c>
      <c r="H93" s="3">
        <v>46116</v>
      </c>
      <c r="I93" s="1">
        <f t="shared" si="2"/>
        <v>3</v>
      </c>
    </row>
    <row r="94" spans="1:9" x14ac:dyDescent="0.3">
      <c r="A94" s="1" t="s">
        <v>6</v>
      </c>
      <c r="B94" s="1" t="s">
        <v>11</v>
      </c>
      <c r="C94" s="1" t="s">
        <v>14</v>
      </c>
      <c r="D94" s="1">
        <v>1137</v>
      </c>
      <c r="E94" s="1" t="s">
        <v>15</v>
      </c>
      <c r="F94" s="1" t="s">
        <v>13</v>
      </c>
      <c r="G94" s="1" t="str">
        <f t="shared" ref="G94:G157" si="4">IF(F94="Shortage", "🔴 CRITICAL", "🟢 STABLE")</f>
        <v>🟢 STABLE</v>
      </c>
      <c r="H94" s="3">
        <v>46117</v>
      </c>
      <c r="I94" s="1">
        <f t="shared" si="2"/>
        <v>7</v>
      </c>
    </row>
    <row r="95" spans="1:9" x14ac:dyDescent="0.3">
      <c r="A95" s="1" t="s">
        <v>6</v>
      </c>
      <c r="B95" s="1" t="s">
        <v>7</v>
      </c>
      <c r="C95" s="1" t="s">
        <v>8</v>
      </c>
      <c r="D95" s="1">
        <v>922</v>
      </c>
      <c r="E95" s="1" t="s">
        <v>12</v>
      </c>
      <c r="F95" s="1" t="s">
        <v>16</v>
      </c>
      <c r="G95" s="1" t="str">
        <f t="shared" si="4"/>
        <v>🟢 STABLE</v>
      </c>
      <c r="H95" s="3">
        <v>46118</v>
      </c>
      <c r="I95" s="1">
        <f t="shared" si="2"/>
        <v>2</v>
      </c>
    </row>
    <row r="96" spans="1:9" x14ac:dyDescent="0.3">
      <c r="A96" s="1" t="s">
        <v>6</v>
      </c>
      <c r="B96" s="1" t="s">
        <v>18</v>
      </c>
      <c r="C96" s="1" t="s">
        <v>8</v>
      </c>
      <c r="D96" s="1">
        <v>1293</v>
      </c>
      <c r="E96" s="1" t="s">
        <v>12</v>
      </c>
      <c r="F96" s="1" t="s">
        <v>13</v>
      </c>
      <c r="G96" s="1" t="str">
        <f t="shared" si="4"/>
        <v>🟢 STABLE</v>
      </c>
      <c r="H96" s="3">
        <v>46119</v>
      </c>
      <c r="I96" s="1">
        <f t="shared" si="2"/>
        <v>3</v>
      </c>
    </row>
    <row r="97" spans="1:9" x14ac:dyDescent="0.3">
      <c r="A97" s="1" t="s">
        <v>6</v>
      </c>
      <c r="B97" s="1" t="s">
        <v>17</v>
      </c>
      <c r="C97" s="1" t="s">
        <v>8</v>
      </c>
      <c r="D97" s="1">
        <v>1122</v>
      </c>
      <c r="E97" s="1" t="s">
        <v>12</v>
      </c>
      <c r="F97" s="1" t="s">
        <v>13</v>
      </c>
      <c r="G97" s="1" t="str">
        <f t="shared" si="4"/>
        <v>🟢 STABLE</v>
      </c>
      <c r="H97" s="3">
        <v>46120</v>
      </c>
      <c r="I97" s="1">
        <f t="shared" si="2"/>
        <v>3</v>
      </c>
    </row>
    <row r="98" spans="1:9" x14ac:dyDescent="0.3">
      <c r="A98" s="1" t="s">
        <v>6</v>
      </c>
      <c r="B98" s="1" t="s">
        <v>19</v>
      </c>
      <c r="C98" s="1" t="s">
        <v>8</v>
      </c>
      <c r="D98" s="1">
        <v>1357</v>
      </c>
      <c r="E98" s="1" t="s">
        <v>9</v>
      </c>
      <c r="F98" s="1" t="s">
        <v>16</v>
      </c>
      <c r="G98" s="1" t="str">
        <f t="shared" si="4"/>
        <v>🟢 STABLE</v>
      </c>
      <c r="H98" s="3">
        <v>46121</v>
      </c>
      <c r="I98" s="1">
        <f t="shared" si="2"/>
        <v>2</v>
      </c>
    </row>
    <row r="99" spans="1:9" x14ac:dyDescent="0.3">
      <c r="A99" s="1" t="s">
        <v>6</v>
      </c>
      <c r="B99" s="1" t="s">
        <v>11</v>
      </c>
      <c r="C99" s="1" t="s">
        <v>8</v>
      </c>
      <c r="D99" s="1">
        <v>1177</v>
      </c>
      <c r="E99" s="1" t="s">
        <v>15</v>
      </c>
      <c r="F99" s="1" t="s">
        <v>13</v>
      </c>
      <c r="G99" s="1" t="str">
        <f t="shared" si="4"/>
        <v>🟢 STABLE</v>
      </c>
      <c r="H99" s="3">
        <v>46122</v>
      </c>
      <c r="I99" s="1">
        <f t="shared" si="2"/>
        <v>7</v>
      </c>
    </row>
    <row r="100" spans="1:9" x14ac:dyDescent="0.3">
      <c r="A100" s="1" t="s">
        <v>6</v>
      </c>
      <c r="B100" s="1" t="s">
        <v>17</v>
      </c>
      <c r="C100" s="1" t="s">
        <v>8</v>
      </c>
      <c r="D100" s="1">
        <v>1030</v>
      </c>
      <c r="E100" s="1" t="s">
        <v>15</v>
      </c>
      <c r="F100" s="1" t="s">
        <v>13</v>
      </c>
      <c r="G100" s="1" t="str">
        <f t="shared" si="4"/>
        <v>🟢 STABLE</v>
      </c>
      <c r="H100" s="3">
        <v>46123</v>
      </c>
      <c r="I100" s="1">
        <f t="shared" si="2"/>
        <v>3</v>
      </c>
    </row>
    <row r="101" spans="1:9" x14ac:dyDescent="0.3">
      <c r="A101" s="1" t="s">
        <v>6</v>
      </c>
      <c r="B101" s="1" t="s">
        <v>11</v>
      </c>
      <c r="C101" s="1" t="s">
        <v>8</v>
      </c>
      <c r="D101" s="1">
        <v>1206</v>
      </c>
      <c r="E101" s="1" t="s">
        <v>12</v>
      </c>
      <c r="F101" s="1" t="s">
        <v>13</v>
      </c>
      <c r="G101" s="1" t="str">
        <f t="shared" si="4"/>
        <v>🟢 STABLE</v>
      </c>
      <c r="H101" s="3">
        <v>46124</v>
      </c>
      <c r="I101" s="1">
        <f t="shared" si="2"/>
        <v>7</v>
      </c>
    </row>
    <row r="102" spans="1:9" x14ac:dyDescent="0.3">
      <c r="A102" s="1" t="s">
        <v>6</v>
      </c>
      <c r="B102" s="1" t="s">
        <v>7</v>
      </c>
      <c r="C102" s="1" t="s">
        <v>8</v>
      </c>
      <c r="D102" s="1">
        <v>1161</v>
      </c>
      <c r="E102" s="1" t="s">
        <v>15</v>
      </c>
      <c r="F102" s="1" t="s">
        <v>13</v>
      </c>
      <c r="G102" s="1" t="str">
        <f t="shared" si="4"/>
        <v>🟢 STABLE</v>
      </c>
      <c r="H102" s="3">
        <v>46125</v>
      </c>
      <c r="I102" s="1">
        <f t="shared" si="2"/>
        <v>2</v>
      </c>
    </row>
    <row r="103" spans="1:9" x14ac:dyDescent="0.3">
      <c r="A103" s="1" t="s">
        <v>6</v>
      </c>
      <c r="B103" s="1" t="s">
        <v>7</v>
      </c>
      <c r="C103" s="1" t="s">
        <v>8</v>
      </c>
      <c r="D103" s="1">
        <v>1228</v>
      </c>
      <c r="E103" s="1" t="s">
        <v>9</v>
      </c>
      <c r="F103" s="1" t="s">
        <v>13</v>
      </c>
      <c r="G103" s="1" t="str">
        <f t="shared" si="4"/>
        <v>🟢 STABLE</v>
      </c>
      <c r="H103" s="3">
        <v>46126</v>
      </c>
      <c r="I103" s="1">
        <f t="shared" si="2"/>
        <v>2</v>
      </c>
    </row>
    <row r="104" spans="1:9" x14ac:dyDescent="0.3">
      <c r="A104" s="1" t="s">
        <v>6</v>
      </c>
      <c r="B104" s="1" t="s">
        <v>7</v>
      </c>
      <c r="C104" s="1" t="s">
        <v>8</v>
      </c>
      <c r="D104" s="1">
        <v>1293</v>
      </c>
      <c r="E104" s="1" t="s">
        <v>15</v>
      </c>
      <c r="F104" s="1" t="s">
        <v>16</v>
      </c>
      <c r="G104" s="1" t="str">
        <f t="shared" si="4"/>
        <v>🟢 STABLE</v>
      </c>
      <c r="H104" s="3">
        <v>46127</v>
      </c>
      <c r="I104" s="1">
        <f t="shared" si="2"/>
        <v>2</v>
      </c>
    </row>
    <row r="105" spans="1:9" x14ac:dyDescent="0.3">
      <c r="A105" s="1" t="s">
        <v>6</v>
      </c>
      <c r="B105" s="1" t="s">
        <v>18</v>
      </c>
      <c r="C105" s="1" t="s">
        <v>14</v>
      </c>
      <c r="D105" s="1">
        <v>1378</v>
      </c>
      <c r="E105" s="1" t="s">
        <v>12</v>
      </c>
      <c r="F105" s="1" t="s">
        <v>16</v>
      </c>
      <c r="G105" s="1" t="str">
        <f t="shared" si="4"/>
        <v>🟢 STABLE</v>
      </c>
      <c r="H105" s="3">
        <v>46128</v>
      </c>
      <c r="I105" s="1">
        <f t="shared" si="2"/>
        <v>3</v>
      </c>
    </row>
    <row r="106" spans="1:9" x14ac:dyDescent="0.3">
      <c r="A106" s="1" t="s">
        <v>6</v>
      </c>
      <c r="B106" s="1" t="s">
        <v>19</v>
      </c>
      <c r="C106" s="1" t="s">
        <v>8</v>
      </c>
      <c r="D106" s="1">
        <v>1139</v>
      </c>
      <c r="E106" s="1" t="s">
        <v>12</v>
      </c>
      <c r="F106" s="1" t="s">
        <v>16</v>
      </c>
      <c r="G106" s="1" t="str">
        <f t="shared" si="4"/>
        <v>🟢 STABLE</v>
      </c>
      <c r="H106" s="3">
        <v>46129</v>
      </c>
      <c r="I106" s="1">
        <f t="shared" si="2"/>
        <v>2</v>
      </c>
    </row>
    <row r="107" spans="1:9" x14ac:dyDescent="0.3">
      <c r="A107" s="1" t="s">
        <v>6</v>
      </c>
      <c r="B107" s="1" t="s">
        <v>7</v>
      </c>
      <c r="C107" s="1" t="s">
        <v>14</v>
      </c>
      <c r="D107" s="1">
        <v>1079</v>
      </c>
      <c r="E107" s="1" t="s">
        <v>9</v>
      </c>
      <c r="F107" s="1" t="s">
        <v>13</v>
      </c>
      <c r="G107" s="1" t="str">
        <f t="shared" si="4"/>
        <v>🟢 STABLE</v>
      </c>
      <c r="H107" s="3">
        <v>46130</v>
      </c>
      <c r="I107" s="1">
        <f t="shared" si="2"/>
        <v>2</v>
      </c>
    </row>
    <row r="108" spans="1:9" x14ac:dyDescent="0.3">
      <c r="A108" s="1" t="s">
        <v>6</v>
      </c>
      <c r="B108" s="1" t="s">
        <v>18</v>
      </c>
      <c r="C108" s="1" t="s">
        <v>14</v>
      </c>
      <c r="D108" s="1">
        <v>1348</v>
      </c>
      <c r="E108" s="1" t="s">
        <v>15</v>
      </c>
      <c r="F108" s="1" t="s">
        <v>16</v>
      </c>
      <c r="G108" s="1" t="str">
        <f t="shared" si="4"/>
        <v>🟢 STABLE</v>
      </c>
      <c r="H108" s="3">
        <v>46131</v>
      </c>
      <c r="I108" s="1">
        <f t="shared" si="2"/>
        <v>3</v>
      </c>
    </row>
    <row r="109" spans="1:9" x14ac:dyDescent="0.3">
      <c r="A109" s="1" t="s">
        <v>6</v>
      </c>
      <c r="B109" s="1" t="s">
        <v>17</v>
      </c>
      <c r="C109" s="1" t="s">
        <v>14</v>
      </c>
      <c r="D109" s="1">
        <v>1141</v>
      </c>
      <c r="E109" s="1" t="s">
        <v>9</v>
      </c>
      <c r="F109" s="1" t="s">
        <v>13</v>
      </c>
      <c r="G109" s="1" t="str">
        <f t="shared" si="4"/>
        <v>🟢 STABLE</v>
      </c>
      <c r="H109" s="3">
        <v>46132</v>
      </c>
      <c r="I109" s="1">
        <f t="shared" si="2"/>
        <v>3</v>
      </c>
    </row>
    <row r="110" spans="1:9" x14ac:dyDescent="0.3">
      <c r="A110" s="1" t="s">
        <v>6</v>
      </c>
      <c r="B110" s="1" t="s">
        <v>18</v>
      </c>
      <c r="C110" s="1" t="s">
        <v>14</v>
      </c>
      <c r="D110" s="1">
        <v>1043</v>
      </c>
      <c r="E110" s="1" t="s">
        <v>15</v>
      </c>
      <c r="F110" s="1" t="s">
        <v>13</v>
      </c>
      <c r="G110" s="1" t="str">
        <f t="shared" si="4"/>
        <v>🟢 STABLE</v>
      </c>
      <c r="H110" s="3">
        <v>46133</v>
      </c>
      <c r="I110" s="1">
        <f t="shared" si="2"/>
        <v>3</v>
      </c>
    </row>
    <row r="111" spans="1:9" x14ac:dyDescent="0.3">
      <c r="A111" s="1" t="s">
        <v>6</v>
      </c>
      <c r="B111" s="1" t="s">
        <v>11</v>
      </c>
      <c r="C111" s="1" t="s">
        <v>14</v>
      </c>
      <c r="D111" s="1">
        <v>1075</v>
      </c>
      <c r="E111" s="1" t="s">
        <v>9</v>
      </c>
      <c r="F111" s="1" t="s">
        <v>16</v>
      </c>
      <c r="G111" s="1" t="str">
        <f t="shared" si="4"/>
        <v>🟢 STABLE</v>
      </c>
      <c r="H111" s="3">
        <v>46134</v>
      </c>
      <c r="I111" s="1">
        <f t="shared" si="2"/>
        <v>7</v>
      </c>
    </row>
    <row r="112" spans="1:9" x14ac:dyDescent="0.3">
      <c r="A112" s="1" t="s">
        <v>6</v>
      </c>
      <c r="B112" s="1" t="s">
        <v>7</v>
      </c>
      <c r="C112" s="1" t="s">
        <v>14</v>
      </c>
      <c r="D112" s="1">
        <v>914</v>
      </c>
      <c r="E112" s="1" t="s">
        <v>9</v>
      </c>
      <c r="F112" s="1" t="s">
        <v>16</v>
      </c>
      <c r="G112" s="1" t="str">
        <f t="shared" si="4"/>
        <v>🟢 STABLE</v>
      </c>
      <c r="H112" s="3">
        <v>46135</v>
      </c>
      <c r="I112" s="1">
        <f t="shared" si="2"/>
        <v>2</v>
      </c>
    </row>
    <row r="113" spans="1:9" x14ac:dyDescent="0.3">
      <c r="A113" s="1" t="s">
        <v>6</v>
      </c>
      <c r="B113" s="1" t="s">
        <v>7</v>
      </c>
      <c r="C113" s="1" t="s">
        <v>8</v>
      </c>
      <c r="D113" s="1">
        <v>1185</v>
      </c>
      <c r="E113" s="1" t="s">
        <v>9</v>
      </c>
      <c r="F113" s="1" t="s">
        <v>16</v>
      </c>
      <c r="G113" s="1" t="str">
        <f t="shared" si="4"/>
        <v>🟢 STABLE</v>
      </c>
      <c r="H113" s="3">
        <v>46136</v>
      </c>
      <c r="I113" s="1">
        <f t="shared" si="2"/>
        <v>2</v>
      </c>
    </row>
    <row r="114" spans="1:9" x14ac:dyDescent="0.3">
      <c r="A114" s="1" t="s">
        <v>6</v>
      </c>
      <c r="B114" s="1" t="s">
        <v>18</v>
      </c>
      <c r="C114" s="1" t="s">
        <v>8</v>
      </c>
      <c r="D114" s="1">
        <v>1056</v>
      </c>
      <c r="E114" s="1" t="s">
        <v>15</v>
      </c>
      <c r="F114" s="1" t="s">
        <v>10</v>
      </c>
      <c r="G114" s="1" t="str">
        <f t="shared" si="4"/>
        <v>🔴 CRITICAL</v>
      </c>
      <c r="H114" s="3">
        <v>46137</v>
      </c>
      <c r="I114" s="1">
        <f t="shared" si="2"/>
        <v>3</v>
      </c>
    </row>
    <row r="115" spans="1:9" x14ac:dyDescent="0.3">
      <c r="A115" s="1" t="s">
        <v>6</v>
      </c>
      <c r="B115" s="1" t="s">
        <v>17</v>
      </c>
      <c r="C115" s="1" t="s">
        <v>14</v>
      </c>
      <c r="D115" s="1">
        <v>855</v>
      </c>
      <c r="E115" s="1" t="s">
        <v>9</v>
      </c>
      <c r="F115" s="1" t="s">
        <v>13</v>
      </c>
      <c r="G115" s="1" t="str">
        <f t="shared" si="4"/>
        <v>🟢 STABLE</v>
      </c>
      <c r="H115" s="3">
        <v>46138</v>
      </c>
      <c r="I115" s="1">
        <f t="shared" si="2"/>
        <v>3</v>
      </c>
    </row>
    <row r="116" spans="1:9" x14ac:dyDescent="0.3">
      <c r="A116" s="1" t="s">
        <v>6</v>
      </c>
      <c r="B116" s="1" t="s">
        <v>7</v>
      </c>
      <c r="C116" s="1" t="s">
        <v>8</v>
      </c>
      <c r="D116" s="1">
        <v>1319</v>
      </c>
      <c r="E116" s="1" t="s">
        <v>9</v>
      </c>
      <c r="F116" s="1" t="s">
        <v>16</v>
      </c>
      <c r="G116" s="1" t="str">
        <f t="shared" si="4"/>
        <v>🟢 STABLE</v>
      </c>
      <c r="H116" s="3">
        <v>46139</v>
      </c>
      <c r="I116" s="1">
        <f t="shared" si="2"/>
        <v>2</v>
      </c>
    </row>
    <row r="117" spans="1:9" x14ac:dyDescent="0.3">
      <c r="A117" s="1" t="s">
        <v>6</v>
      </c>
      <c r="B117" s="1" t="s">
        <v>19</v>
      </c>
      <c r="C117" s="1" t="s">
        <v>8</v>
      </c>
      <c r="D117" s="1">
        <v>1125</v>
      </c>
      <c r="E117" s="1" t="s">
        <v>12</v>
      </c>
      <c r="F117" s="1" t="s">
        <v>13</v>
      </c>
      <c r="G117" s="1" t="str">
        <f t="shared" si="4"/>
        <v>🟢 STABLE</v>
      </c>
      <c r="H117" s="3">
        <v>46140</v>
      </c>
      <c r="I117" s="1">
        <f t="shared" si="2"/>
        <v>2</v>
      </c>
    </row>
    <row r="118" spans="1:9" x14ac:dyDescent="0.3">
      <c r="A118" s="1" t="s">
        <v>6</v>
      </c>
      <c r="B118" s="1" t="s">
        <v>7</v>
      </c>
      <c r="C118" s="1" t="s">
        <v>8</v>
      </c>
      <c r="D118" s="1">
        <v>1351</v>
      </c>
      <c r="E118" s="1" t="s">
        <v>15</v>
      </c>
      <c r="F118" s="1" t="s">
        <v>13</v>
      </c>
      <c r="G118" s="1" t="str">
        <f t="shared" si="4"/>
        <v>🟢 STABLE</v>
      </c>
      <c r="H118" s="3">
        <v>46141</v>
      </c>
      <c r="I118" s="1">
        <f t="shared" si="2"/>
        <v>2</v>
      </c>
    </row>
    <row r="119" spans="1:9" x14ac:dyDescent="0.3">
      <c r="A119" s="1" t="s">
        <v>6</v>
      </c>
      <c r="B119" s="1" t="s">
        <v>18</v>
      </c>
      <c r="C119" s="1" t="s">
        <v>8</v>
      </c>
      <c r="D119" s="1">
        <v>1384</v>
      </c>
      <c r="E119" s="1" t="s">
        <v>12</v>
      </c>
      <c r="F119" s="1" t="s">
        <v>13</v>
      </c>
      <c r="G119" s="1" t="str">
        <f t="shared" si="4"/>
        <v>🟢 STABLE</v>
      </c>
      <c r="H119" s="3">
        <v>46142</v>
      </c>
      <c r="I119" s="1">
        <f t="shared" si="2"/>
        <v>3</v>
      </c>
    </row>
    <row r="120" spans="1:9" x14ac:dyDescent="0.3">
      <c r="A120" s="1" t="s">
        <v>6</v>
      </c>
      <c r="B120" s="1" t="s">
        <v>11</v>
      </c>
      <c r="C120" s="1" t="s">
        <v>14</v>
      </c>
      <c r="D120" s="1">
        <v>980</v>
      </c>
      <c r="E120" s="1" t="s">
        <v>15</v>
      </c>
      <c r="F120" s="1" t="s">
        <v>16</v>
      </c>
      <c r="G120" s="1" t="str">
        <f t="shared" si="4"/>
        <v>🟢 STABLE</v>
      </c>
      <c r="H120" s="3">
        <v>46143</v>
      </c>
      <c r="I120" s="1">
        <f t="shared" si="2"/>
        <v>7</v>
      </c>
    </row>
    <row r="121" spans="1:9" x14ac:dyDescent="0.3">
      <c r="A121" s="1" t="s">
        <v>6</v>
      </c>
      <c r="B121" s="1" t="s">
        <v>18</v>
      </c>
      <c r="C121" s="1" t="s">
        <v>8</v>
      </c>
      <c r="D121" s="1">
        <v>862</v>
      </c>
      <c r="E121" s="1" t="s">
        <v>12</v>
      </c>
      <c r="F121" s="1" t="s">
        <v>13</v>
      </c>
      <c r="G121" s="1" t="str">
        <f t="shared" si="4"/>
        <v>🟢 STABLE</v>
      </c>
      <c r="H121" s="3">
        <v>46144</v>
      </c>
      <c r="I121" s="1">
        <f t="shared" si="2"/>
        <v>3</v>
      </c>
    </row>
    <row r="122" spans="1:9" x14ac:dyDescent="0.3">
      <c r="A122" s="1" t="s">
        <v>6</v>
      </c>
      <c r="B122" s="1" t="s">
        <v>17</v>
      </c>
      <c r="C122" s="1" t="s">
        <v>8</v>
      </c>
      <c r="D122" s="1">
        <v>1047</v>
      </c>
      <c r="E122" s="1" t="s">
        <v>15</v>
      </c>
      <c r="F122" s="1" t="s">
        <v>13</v>
      </c>
      <c r="G122" s="1" t="str">
        <f t="shared" si="4"/>
        <v>🟢 STABLE</v>
      </c>
      <c r="H122" s="3">
        <v>46145</v>
      </c>
      <c r="I122" s="1">
        <f t="shared" si="2"/>
        <v>3</v>
      </c>
    </row>
    <row r="123" spans="1:9" x14ac:dyDescent="0.3">
      <c r="A123" s="1" t="s">
        <v>20</v>
      </c>
      <c r="B123" s="1" t="s">
        <v>11</v>
      </c>
      <c r="C123" s="1" t="s">
        <v>8</v>
      </c>
      <c r="D123" s="1">
        <v>964</v>
      </c>
      <c r="E123" s="1" t="s">
        <v>12</v>
      </c>
      <c r="F123" s="1" t="s">
        <v>13</v>
      </c>
      <c r="G123" s="1" t="str">
        <f t="shared" si="4"/>
        <v>🟢 STABLE</v>
      </c>
      <c r="H123" s="3">
        <v>46146</v>
      </c>
      <c r="I123" s="1">
        <f t="shared" si="2"/>
        <v>7</v>
      </c>
    </row>
    <row r="124" spans="1:9" x14ac:dyDescent="0.3">
      <c r="A124" s="1" t="s">
        <v>20</v>
      </c>
      <c r="B124" s="1" t="s">
        <v>18</v>
      </c>
      <c r="C124" s="1" t="s">
        <v>8</v>
      </c>
      <c r="D124" s="1">
        <v>968</v>
      </c>
      <c r="E124" s="1" t="s">
        <v>12</v>
      </c>
      <c r="F124" s="1" t="s">
        <v>13</v>
      </c>
      <c r="G124" s="1" t="str">
        <f t="shared" si="4"/>
        <v>🟢 STABLE</v>
      </c>
      <c r="H124" s="3">
        <v>46147</v>
      </c>
      <c r="I124" s="1">
        <f t="shared" si="2"/>
        <v>3</v>
      </c>
    </row>
    <row r="125" spans="1:9" x14ac:dyDescent="0.3">
      <c r="A125" s="1" t="s">
        <v>20</v>
      </c>
      <c r="B125" s="1" t="s">
        <v>11</v>
      </c>
      <c r="C125" s="1" t="s">
        <v>8</v>
      </c>
      <c r="D125" s="1">
        <v>1082</v>
      </c>
      <c r="E125" s="1" t="s">
        <v>15</v>
      </c>
      <c r="F125" s="1" t="s">
        <v>13</v>
      </c>
      <c r="G125" s="1" t="str">
        <f t="shared" si="4"/>
        <v>🟢 STABLE</v>
      </c>
      <c r="H125" s="3">
        <v>46148</v>
      </c>
      <c r="I125" s="1">
        <f t="shared" si="2"/>
        <v>7</v>
      </c>
    </row>
    <row r="126" spans="1:9" x14ac:dyDescent="0.3">
      <c r="A126" s="1" t="s">
        <v>20</v>
      </c>
      <c r="B126" s="1" t="s">
        <v>17</v>
      </c>
      <c r="C126" s="1" t="s">
        <v>8</v>
      </c>
      <c r="D126" s="1">
        <v>1264</v>
      </c>
      <c r="E126" s="1" t="s">
        <v>12</v>
      </c>
      <c r="F126" s="1" t="s">
        <v>10</v>
      </c>
      <c r="G126" s="1" t="str">
        <f t="shared" si="4"/>
        <v>🔴 CRITICAL</v>
      </c>
      <c r="H126" s="3">
        <v>46149</v>
      </c>
      <c r="I126" s="1">
        <f t="shared" si="2"/>
        <v>3</v>
      </c>
    </row>
    <row r="127" spans="1:9" x14ac:dyDescent="0.3">
      <c r="A127" s="1" t="s">
        <v>20</v>
      </c>
      <c r="B127" s="1" t="s">
        <v>11</v>
      </c>
      <c r="C127" s="1" t="s">
        <v>8</v>
      </c>
      <c r="D127" s="1">
        <v>1319</v>
      </c>
      <c r="E127" s="1" t="s">
        <v>9</v>
      </c>
      <c r="F127" s="1" t="s">
        <v>13</v>
      </c>
      <c r="G127" s="1" t="str">
        <f t="shared" si="4"/>
        <v>🟢 STABLE</v>
      </c>
      <c r="H127" s="3">
        <v>46150</v>
      </c>
      <c r="I127" s="1">
        <f t="shared" si="2"/>
        <v>7</v>
      </c>
    </row>
    <row r="128" spans="1:9" x14ac:dyDescent="0.3">
      <c r="A128" s="1" t="s">
        <v>20</v>
      </c>
      <c r="B128" s="1" t="s">
        <v>11</v>
      </c>
      <c r="C128" s="1" t="s">
        <v>8</v>
      </c>
      <c r="D128" s="1">
        <v>891</v>
      </c>
      <c r="E128" s="1" t="s">
        <v>9</v>
      </c>
      <c r="F128" s="1" t="s">
        <v>13</v>
      </c>
      <c r="G128" s="1" t="str">
        <f t="shared" si="4"/>
        <v>🟢 STABLE</v>
      </c>
      <c r="H128" s="3">
        <v>46151</v>
      </c>
      <c r="I128" s="1">
        <f t="shared" si="2"/>
        <v>7</v>
      </c>
    </row>
    <row r="129" spans="1:9" x14ac:dyDescent="0.3">
      <c r="A129" s="1" t="s">
        <v>20</v>
      </c>
      <c r="B129" s="1" t="s">
        <v>11</v>
      </c>
      <c r="C129" s="1" t="s">
        <v>14</v>
      </c>
      <c r="D129" s="1">
        <v>1270</v>
      </c>
      <c r="E129" s="1" t="s">
        <v>15</v>
      </c>
      <c r="F129" s="1" t="s">
        <v>13</v>
      </c>
      <c r="G129" s="1" t="str">
        <f t="shared" si="4"/>
        <v>🟢 STABLE</v>
      </c>
      <c r="H129" s="3">
        <v>46152</v>
      </c>
      <c r="I129" s="1">
        <f t="shared" si="2"/>
        <v>7</v>
      </c>
    </row>
    <row r="130" spans="1:9" x14ac:dyDescent="0.3">
      <c r="A130" s="1" t="s">
        <v>20</v>
      </c>
      <c r="B130" s="1" t="s">
        <v>11</v>
      </c>
      <c r="C130" s="1" t="s">
        <v>14</v>
      </c>
      <c r="D130" s="1">
        <v>878</v>
      </c>
      <c r="E130" s="1" t="s">
        <v>12</v>
      </c>
      <c r="F130" s="1" t="s">
        <v>13</v>
      </c>
      <c r="G130" s="1" t="str">
        <f t="shared" si="4"/>
        <v>🟢 STABLE</v>
      </c>
      <c r="H130" s="3">
        <v>46153</v>
      </c>
      <c r="I130" s="1">
        <f t="shared" si="2"/>
        <v>7</v>
      </c>
    </row>
    <row r="131" spans="1:9" x14ac:dyDescent="0.3">
      <c r="A131" s="1" t="s">
        <v>20</v>
      </c>
      <c r="B131" s="1" t="s">
        <v>19</v>
      </c>
      <c r="C131" s="1" t="s">
        <v>8</v>
      </c>
      <c r="D131" s="1">
        <v>988</v>
      </c>
      <c r="E131" s="1" t="s">
        <v>9</v>
      </c>
      <c r="F131" s="1" t="s">
        <v>13</v>
      </c>
      <c r="G131" s="1" t="str">
        <f t="shared" si="4"/>
        <v>🟢 STABLE</v>
      </c>
      <c r="H131" s="3">
        <v>46154</v>
      </c>
      <c r="I131" s="1">
        <f t="shared" ref="I131:I194" si="5">COUNTIFS(B:B, B131, F:F, "Shortage")</f>
        <v>2</v>
      </c>
    </row>
    <row r="132" spans="1:9" x14ac:dyDescent="0.3">
      <c r="A132" s="1" t="s">
        <v>20</v>
      </c>
      <c r="B132" s="1" t="s">
        <v>7</v>
      </c>
      <c r="C132" s="1" t="s">
        <v>8</v>
      </c>
      <c r="D132" s="1">
        <v>1126</v>
      </c>
      <c r="E132" s="1" t="s">
        <v>9</v>
      </c>
      <c r="F132" s="1" t="s">
        <v>13</v>
      </c>
      <c r="G132" s="1" t="str">
        <f t="shared" si="4"/>
        <v>🟢 STABLE</v>
      </c>
      <c r="H132" s="3">
        <v>46155</v>
      </c>
      <c r="I132" s="1">
        <f t="shared" si="5"/>
        <v>2</v>
      </c>
    </row>
    <row r="133" spans="1:9" x14ac:dyDescent="0.3">
      <c r="A133" s="1" t="s">
        <v>20</v>
      </c>
      <c r="B133" s="1" t="s">
        <v>19</v>
      </c>
      <c r="C133" s="1" t="s">
        <v>8</v>
      </c>
      <c r="D133" s="1">
        <v>1031</v>
      </c>
      <c r="E133" s="1" t="s">
        <v>9</v>
      </c>
      <c r="F133" s="1" t="s">
        <v>13</v>
      </c>
      <c r="G133" s="1" t="str">
        <f t="shared" si="4"/>
        <v>🟢 STABLE</v>
      </c>
      <c r="H133" s="3">
        <v>46156</v>
      </c>
      <c r="I133" s="1">
        <f t="shared" si="5"/>
        <v>2</v>
      </c>
    </row>
    <row r="134" spans="1:9" x14ac:dyDescent="0.3">
      <c r="A134" s="1" t="s">
        <v>20</v>
      </c>
      <c r="B134" s="1" t="s">
        <v>11</v>
      </c>
      <c r="C134" s="1" t="s">
        <v>8</v>
      </c>
      <c r="D134" s="1">
        <v>1034</v>
      </c>
      <c r="E134" s="1" t="s">
        <v>12</v>
      </c>
      <c r="F134" s="1" t="s">
        <v>13</v>
      </c>
      <c r="G134" s="1" t="str">
        <f t="shared" si="4"/>
        <v>🟢 STABLE</v>
      </c>
      <c r="H134" s="3">
        <v>46157</v>
      </c>
      <c r="I134" s="1">
        <f t="shared" si="5"/>
        <v>7</v>
      </c>
    </row>
    <row r="135" spans="1:9" x14ac:dyDescent="0.3">
      <c r="A135" s="1" t="s">
        <v>20</v>
      </c>
      <c r="B135" s="1" t="s">
        <v>11</v>
      </c>
      <c r="C135" s="1" t="s">
        <v>8</v>
      </c>
      <c r="D135" s="1">
        <v>964</v>
      </c>
      <c r="E135" s="1" t="s">
        <v>15</v>
      </c>
      <c r="F135" s="1" t="s">
        <v>16</v>
      </c>
      <c r="G135" s="1" t="str">
        <f t="shared" si="4"/>
        <v>🟢 STABLE</v>
      </c>
      <c r="H135" s="3">
        <v>46158</v>
      </c>
      <c r="I135" s="1">
        <f t="shared" si="5"/>
        <v>7</v>
      </c>
    </row>
    <row r="136" spans="1:9" x14ac:dyDescent="0.3">
      <c r="A136" s="1" t="s">
        <v>20</v>
      </c>
      <c r="B136" s="1" t="s">
        <v>11</v>
      </c>
      <c r="C136" s="1" t="s">
        <v>14</v>
      </c>
      <c r="D136" s="1">
        <v>1342</v>
      </c>
      <c r="E136" s="1" t="s">
        <v>15</v>
      </c>
      <c r="F136" s="1" t="s">
        <v>13</v>
      </c>
      <c r="G136" s="1" t="str">
        <f t="shared" si="4"/>
        <v>🟢 STABLE</v>
      </c>
      <c r="H136" s="3">
        <v>46159</v>
      </c>
      <c r="I136" s="1">
        <f t="shared" si="5"/>
        <v>7</v>
      </c>
    </row>
    <row r="137" spans="1:9" x14ac:dyDescent="0.3">
      <c r="A137" s="1" t="s">
        <v>20</v>
      </c>
      <c r="B137" s="1" t="s">
        <v>19</v>
      </c>
      <c r="C137" s="1" t="s">
        <v>8</v>
      </c>
      <c r="D137" s="1">
        <v>970</v>
      </c>
      <c r="E137" s="1" t="s">
        <v>12</v>
      </c>
      <c r="F137" s="1" t="s">
        <v>13</v>
      </c>
      <c r="G137" s="1" t="str">
        <f t="shared" si="4"/>
        <v>🟢 STABLE</v>
      </c>
      <c r="H137" s="3">
        <v>46160</v>
      </c>
      <c r="I137" s="1">
        <f t="shared" si="5"/>
        <v>2</v>
      </c>
    </row>
    <row r="138" spans="1:9" x14ac:dyDescent="0.3">
      <c r="A138" s="1" t="s">
        <v>20</v>
      </c>
      <c r="B138" s="1" t="s">
        <v>7</v>
      </c>
      <c r="C138" s="1" t="s">
        <v>14</v>
      </c>
      <c r="D138" s="1">
        <v>1131</v>
      </c>
      <c r="E138" s="1" t="s">
        <v>15</v>
      </c>
      <c r="F138" s="1" t="s">
        <v>13</v>
      </c>
      <c r="G138" s="1" t="str">
        <f t="shared" si="4"/>
        <v>🟢 STABLE</v>
      </c>
      <c r="H138" s="3">
        <v>46161</v>
      </c>
      <c r="I138" s="1">
        <f t="shared" si="5"/>
        <v>2</v>
      </c>
    </row>
    <row r="139" spans="1:9" x14ac:dyDescent="0.3">
      <c r="A139" s="1" t="s">
        <v>20</v>
      </c>
      <c r="B139" s="1" t="s">
        <v>19</v>
      </c>
      <c r="C139" s="1" t="s">
        <v>14</v>
      </c>
      <c r="D139" s="1">
        <v>953</v>
      </c>
      <c r="E139" s="1" t="s">
        <v>9</v>
      </c>
      <c r="F139" s="1" t="s">
        <v>13</v>
      </c>
      <c r="G139" s="1" t="str">
        <f t="shared" si="4"/>
        <v>🟢 STABLE</v>
      </c>
      <c r="H139" s="3">
        <v>46162</v>
      </c>
      <c r="I139" s="1">
        <f t="shared" si="5"/>
        <v>2</v>
      </c>
    </row>
    <row r="140" spans="1:9" x14ac:dyDescent="0.3">
      <c r="A140" s="1" t="s">
        <v>20</v>
      </c>
      <c r="B140" s="1" t="s">
        <v>19</v>
      </c>
      <c r="C140" s="1" t="s">
        <v>8</v>
      </c>
      <c r="D140" s="1">
        <v>1310</v>
      </c>
      <c r="E140" s="1" t="s">
        <v>12</v>
      </c>
      <c r="F140" s="1" t="s">
        <v>13</v>
      </c>
      <c r="G140" s="1" t="str">
        <f t="shared" si="4"/>
        <v>🟢 STABLE</v>
      </c>
      <c r="H140" s="3">
        <v>46163</v>
      </c>
      <c r="I140" s="1">
        <f t="shared" si="5"/>
        <v>2</v>
      </c>
    </row>
    <row r="141" spans="1:9" x14ac:dyDescent="0.3">
      <c r="A141" s="1" t="s">
        <v>20</v>
      </c>
      <c r="B141" s="1" t="s">
        <v>18</v>
      </c>
      <c r="C141" s="1" t="s">
        <v>14</v>
      </c>
      <c r="D141" s="1">
        <v>1363</v>
      </c>
      <c r="E141" s="1" t="s">
        <v>12</v>
      </c>
      <c r="F141" s="1" t="s">
        <v>13</v>
      </c>
      <c r="G141" s="1" t="str">
        <f t="shared" si="4"/>
        <v>🟢 STABLE</v>
      </c>
      <c r="H141" s="3">
        <v>46164</v>
      </c>
      <c r="I141" s="1">
        <f t="shared" si="5"/>
        <v>3</v>
      </c>
    </row>
    <row r="142" spans="1:9" x14ac:dyDescent="0.3">
      <c r="A142" s="1" t="s">
        <v>20</v>
      </c>
      <c r="B142" s="1" t="s">
        <v>17</v>
      </c>
      <c r="C142" s="1" t="s">
        <v>8</v>
      </c>
      <c r="D142" s="1">
        <v>1308</v>
      </c>
      <c r="E142" s="1" t="s">
        <v>15</v>
      </c>
      <c r="F142" s="1" t="s">
        <v>16</v>
      </c>
      <c r="G142" s="1" t="str">
        <f t="shared" si="4"/>
        <v>🟢 STABLE</v>
      </c>
      <c r="H142" s="3">
        <v>46165</v>
      </c>
      <c r="I142" s="1">
        <f t="shared" si="5"/>
        <v>3</v>
      </c>
    </row>
    <row r="143" spans="1:9" x14ac:dyDescent="0.3">
      <c r="A143" s="1" t="s">
        <v>20</v>
      </c>
      <c r="B143" s="1" t="s">
        <v>11</v>
      </c>
      <c r="C143" s="1" t="s">
        <v>8</v>
      </c>
      <c r="D143" s="1">
        <v>963</v>
      </c>
      <c r="E143" s="1" t="s">
        <v>15</v>
      </c>
      <c r="F143" s="1" t="s">
        <v>13</v>
      </c>
      <c r="G143" s="1" t="str">
        <f t="shared" si="4"/>
        <v>🟢 STABLE</v>
      </c>
      <c r="H143" s="3">
        <v>46166</v>
      </c>
      <c r="I143" s="1">
        <f t="shared" si="5"/>
        <v>7</v>
      </c>
    </row>
    <row r="144" spans="1:9" x14ac:dyDescent="0.3">
      <c r="A144" s="1" t="s">
        <v>20</v>
      </c>
      <c r="B144" s="1" t="s">
        <v>17</v>
      </c>
      <c r="C144" s="1" t="s">
        <v>8</v>
      </c>
      <c r="D144" s="1">
        <v>988</v>
      </c>
      <c r="E144" s="1" t="s">
        <v>12</v>
      </c>
      <c r="F144" s="1" t="s">
        <v>16</v>
      </c>
      <c r="G144" s="1" t="str">
        <f t="shared" si="4"/>
        <v>🟢 STABLE</v>
      </c>
      <c r="H144" s="3">
        <v>46167</v>
      </c>
      <c r="I144" s="1">
        <f t="shared" si="5"/>
        <v>3</v>
      </c>
    </row>
    <row r="145" spans="1:9" x14ac:dyDescent="0.3">
      <c r="A145" s="1" t="s">
        <v>20</v>
      </c>
      <c r="B145" s="1" t="s">
        <v>19</v>
      </c>
      <c r="C145" s="1" t="s">
        <v>8</v>
      </c>
      <c r="D145" s="1">
        <v>1398</v>
      </c>
      <c r="E145" s="1" t="s">
        <v>12</v>
      </c>
      <c r="F145" s="1" t="s">
        <v>13</v>
      </c>
      <c r="G145" s="1" t="str">
        <f t="shared" si="4"/>
        <v>🟢 STABLE</v>
      </c>
      <c r="H145" s="3">
        <v>46168</v>
      </c>
      <c r="I145" s="1">
        <f t="shared" si="5"/>
        <v>2</v>
      </c>
    </row>
    <row r="146" spans="1:9" x14ac:dyDescent="0.3">
      <c r="A146" s="1" t="s">
        <v>20</v>
      </c>
      <c r="B146" s="1" t="s">
        <v>19</v>
      </c>
      <c r="C146" s="1" t="s">
        <v>14</v>
      </c>
      <c r="D146" s="1">
        <v>1087</v>
      </c>
      <c r="E146" s="1" t="s">
        <v>15</v>
      </c>
      <c r="F146" s="1" t="s">
        <v>13</v>
      </c>
      <c r="G146" s="1" t="str">
        <f t="shared" si="4"/>
        <v>🟢 STABLE</v>
      </c>
      <c r="H146" s="3">
        <v>46169</v>
      </c>
      <c r="I146" s="1">
        <f t="shared" si="5"/>
        <v>2</v>
      </c>
    </row>
    <row r="147" spans="1:9" x14ac:dyDescent="0.3">
      <c r="A147" s="1" t="s">
        <v>20</v>
      </c>
      <c r="B147" s="1" t="s">
        <v>7</v>
      </c>
      <c r="C147" s="1" t="s">
        <v>14</v>
      </c>
      <c r="D147" s="1">
        <v>923</v>
      </c>
      <c r="E147" s="1" t="s">
        <v>15</v>
      </c>
      <c r="F147" s="1" t="s">
        <v>13</v>
      </c>
      <c r="G147" s="1" t="str">
        <f t="shared" si="4"/>
        <v>🟢 STABLE</v>
      </c>
      <c r="H147" s="3">
        <v>46170</v>
      </c>
      <c r="I147" s="1">
        <f t="shared" si="5"/>
        <v>2</v>
      </c>
    </row>
    <row r="148" spans="1:9" x14ac:dyDescent="0.3">
      <c r="A148" s="1" t="s">
        <v>20</v>
      </c>
      <c r="B148" s="1" t="s">
        <v>19</v>
      </c>
      <c r="C148" s="1" t="s">
        <v>8</v>
      </c>
      <c r="D148" s="1">
        <v>1346</v>
      </c>
      <c r="E148" s="1" t="s">
        <v>9</v>
      </c>
      <c r="F148" s="1" t="s">
        <v>13</v>
      </c>
      <c r="G148" s="1" t="str">
        <f t="shared" si="4"/>
        <v>🟢 STABLE</v>
      </c>
      <c r="H148" s="3">
        <v>46171</v>
      </c>
      <c r="I148" s="1">
        <f t="shared" si="5"/>
        <v>2</v>
      </c>
    </row>
    <row r="149" spans="1:9" x14ac:dyDescent="0.3">
      <c r="A149" s="1" t="s">
        <v>20</v>
      </c>
      <c r="B149" s="1" t="s">
        <v>17</v>
      </c>
      <c r="C149" s="1" t="s">
        <v>8</v>
      </c>
      <c r="D149" s="1">
        <v>1175</v>
      </c>
      <c r="E149" s="1" t="s">
        <v>15</v>
      </c>
      <c r="F149" s="1" t="s">
        <v>13</v>
      </c>
      <c r="G149" s="1" t="str">
        <f t="shared" si="4"/>
        <v>🟢 STABLE</v>
      </c>
      <c r="H149" s="3">
        <v>46172</v>
      </c>
      <c r="I149" s="1">
        <f t="shared" si="5"/>
        <v>3</v>
      </c>
    </row>
    <row r="150" spans="1:9" x14ac:dyDescent="0.3">
      <c r="A150" s="1" t="s">
        <v>20</v>
      </c>
      <c r="B150" s="1" t="s">
        <v>11</v>
      </c>
      <c r="C150" s="1" t="s">
        <v>14</v>
      </c>
      <c r="D150" s="1">
        <v>1351</v>
      </c>
      <c r="E150" s="1" t="s">
        <v>9</v>
      </c>
      <c r="F150" s="1" t="s">
        <v>16</v>
      </c>
      <c r="G150" s="1" t="str">
        <f t="shared" si="4"/>
        <v>🟢 STABLE</v>
      </c>
      <c r="H150" s="3">
        <v>46173</v>
      </c>
      <c r="I150" s="1">
        <f t="shared" si="5"/>
        <v>7</v>
      </c>
    </row>
    <row r="151" spans="1:9" x14ac:dyDescent="0.3">
      <c r="A151" s="1" t="s">
        <v>21</v>
      </c>
      <c r="B151" s="1" t="s">
        <v>17</v>
      </c>
      <c r="C151" s="1" t="s">
        <v>8</v>
      </c>
      <c r="D151" s="1">
        <v>982</v>
      </c>
      <c r="E151" s="1" t="s">
        <v>9</v>
      </c>
      <c r="F151" s="1" t="s">
        <v>13</v>
      </c>
      <c r="G151" s="1" t="str">
        <f t="shared" si="4"/>
        <v>🟢 STABLE</v>
      </c>
      <c r="H151" s="3">
        <v>46174</v>
      </c>
      <c r="I151" s="1">
        <f t="shared" si="5"/>
        <v>3</v>
      </c>
    </row>
    <row r="152" spans="1:9" x14ac:dyDescent="0.3">
      <c r="A152" s="1" t="s">
        <v>21</v>
      </c>
      <c r="B152" s="1" t="s">
        <v>17</v>
      </c>
      <c r="C152" s="1" t="s">
        <v>14</v>
      </c>
      <c r="D152" s="1">
        <v>1064</v>
      </c>
      <c r="E152" s="1" t="s">
        <v>15</v>
      </c>
      <c r="F152" s="1" t="s">
        <v>13</v>
      </c>
      <c r="G152" s="1" t="str">
        <f t="shared" si="4"/>
        <v>🟢 STABLE</v>
      </c>
      <c r="H152" s="3">
        <v>46175</v>
      </c>
      <c r="I152" s="1">
        <f t="shared" si="5"/>
        <v>3</v>
      </c>
    </row>
    <row r="153" spans="1:9" x14ac:dyDescent="0.3">
      <c r="A153" s="1" t="s">
        <v>21</v>
      </c>
      <c r="B153" s="1" t="s">
        <v>11</v>
      </c>
      <c r="C153" s="1" t="s">
        <v>14</v>
      </c>
      <c r="D153" s="1">
        <v>863</v>
      </c>
      <c r="E153" s="1" t="s">
        <v>15</v>
      </c>
      <c r="F153" s="1" t="s">
        <v>16</v>
      </c>
      <c r="G153" s="1" t="str">
        <f t="shared" si="4"/>
        <v>🟢 STABLE</v>
      </c>
      <c r="H153" s="3">
        <v>46176</v>
      </c>
      <c r="I153" s="1">
        <f t="shared" si="5"/>
        <v>7</v>
      </c>
    </row>
    <row r="154" spans="1:9" x14ac:dyDescent="0.3">
      <c r="A154" s="1" t="s">
        <v>21</v>
      </c>
      <c r="B154" s="1" t="s">
        <v>7</v>
      </c>
      <c r="C154" s="1" t="s">
        <v>14</v>
      </c>
      <c r="D154" s="1">
        <v>1229</v>
      </c>
      <c r="E154" s="1" t="s">
        <v>12</v>
      </c>
      <c r="F154" s="1" t="s">
        <v>13</v>
      </c>
      <c r="G154" s="1" t="str">
        <f t="shared" si="4"/>
        <v>🟢 STABLE</v>
      </c>
      <c r="H154" s="3">
        <v>46177</v>
      </c>
      <c r="I154" s="1">
        <f t="shared" si="5"/>
        <v>2</v>
      </c>
    </row>
    <row r="155" spans="1:9" x14ac:dyDescent="0.3">
      <c r="A155" s="1" t="s">
        <v>21</v>
      </c>
      <c r="B155" s="1" t="s">
        <v>19</v>
      </c>
      <c r="C155" s="1" t="s">
        <v>14</v>
      </c>
      <c r="D155" s="1">
        <v>929</v>
      </c>
      <c r="E155" s="1" t="s">
        <v>9</v>
      </c>
      <c r="F155" s="1" t="s">
        <v>16</v>
      </c>
      <c r="G155" s="1" t="str">
        <f t="shared" si="4"/>
        <v>🟢 STABLE</v>
      </c>
      <c r="H155" s="3">
        <v>46178</v>
      </c>
      <c r="I155" s="1">
        <f t="shared" si="5"/>
        <v>2</v>
      </c>
    </row>
    <row r="156" spans="1:9" x14ac:dyDescent="0.3">
      <c r="A156" s="1" t="s">
        <v>21</v>
      </c>
      <c r="B156" s="1" t="s">
        <v>19</v>
      </c>
      <c r="C156" s="1" t="s">
        <v>8</v>
      </c>
      <c r="D156" s="1">
        <v>1190</v>
      </c>
      <c r="E156" s="1" t="s">
        <v>12</v>
      </c>
      <c r="F156" s="1" t="s">
        <v>13</v>
      </c>
      <c r="G156" s="1" t="str">
        <f t="shared" si="4"/>
        <v>🟢 STABLE</v>
      </c>
      <c r="H156" s="3">
        <v>46179</v>
      </c>
      <c r="I156" s="1">
        <f t="shared" si="5"/>
        <v>2</v>
      </c>
    </row>
    <row r="157" spans="1:9" x14ac:dyDescent="0.3">
      <c r="A157" s="1" t="s">
        <v>21</v>
      </c>
      <c r="B157" s="1" t="s">
        <v>19</v>
      </c>
      <c r="C157" s="1" t="s">
        <v>8</v>
      </c>
      <c r="D157" s="1">
        <v>1304</v>
      </c>
      <c r="E157" s="1" t="s">
        <v>9</v>
      </c>
      <c r="F157" s="1" t="s">
        <v>13</v>
      </c>
      <c r="G157" s="1" t="str">
        <f t="shared" si="4"/>
        <v>🟢 STABLE</v>
      </c>
      <c r="H157" s="3">
        <v>46180</v>
      </c>
      <c r="I157" s="1">
        <f t="shared" si="5"/>
        <v>2</v>
      </c>
    </row>
    <row r="158" spans="1:9" x14ac:dyDescent="0.3">
      <c r="A158" s="1" t="s">
        <v>21</v>
      </c>
      <c r="B158" s="1" t="s">
        <v>19</v>
      </c>
      <c r="C158" s="1" t="s">
        <v>8</v>
      </c>
      <c r="D158" s="1">
        <v>1122</v>
      </c>
      <c r="E158" s="1" t="s">
        <v>9</v>
      </c>
      <c r="F158" s="1" t="s">
        <v>13</v>
      </c>
      <c r="G158" s="1" t="str">
        <f t="shared" ref="G158:G201" si="6">IF(F158="Shortage", "🔴 CRITICAL", "🟢 STABLE")</f>
        <v>🟢 STABLE</v>
      </c>
      <c r="H158" s="3">
        <v>46181</v>
      </c>
      <c r="I158" s="1">
        <f t="shared" si="5"/>
        <v>2</v>
      </c>
    </row>
    <row r="159" spans="1:9" x14ac:dyDescent="0.3">
      <c r="A159" s="1" t="s">
        <v>21</v>
      </c>
      <c r="B159" s="1" t="s">
        <v>19</v>
      </c>
      <c r="C159" s="1" t="s">
        <v>14</v>
      </c>
      <c r="D159" s="1">
        <v>1032</v>
      </c>
      <c r="E159" s="1" t="s">
        <v>9</v>
      </c>
      <c r="F159" s="1" t="s">
        <v>13</v>
      </c>
      <c r="G159" s="1" t="str">
        <f t="shared" si="6"/>
        <v>🟢 STABLE</v>
      </c>
      <c r="H159" s="3">
        <v>46182</v>
      </c>
      <c r="I159" s="1">
        <f t="shared" si="5"/>
        <v>2</v>
      </c>
    </row>
    <row r="160" spans="1:9" x14ac:dyDescent="0.3">
      <c r="A160" s="1" t="s">
        <v>21</v>
      </c>
      <c r="B160" s="1" t="s">
        <v>7</v>
      </c>
      <c r="C160" s="1" t="s">
        <v>14</v>
      </c>
      <c r="D160" s="1">
        <v>1233</v>
      </c>
      <c r="E160" s="1" t="s">
        <v>9</v>
      </c>
      <c r="F160" s="1" t="s">
        <v>10</v>
      </c>
      <c r="G160" s="1" t="str">
        <f t="shared" si="6"/>
        <v>🔴 CRITICAL</v>
      </c>
      <c r="H160" s="3">
        <v>46183</v>
      </c>
      <c r="I160" s="1">
        <f t="shared" si="5"/>
        <v>2</v>
      </c>
    </row>
    <row r="161" spans="1:9" x14ac:dyDescent="0.3">
      <c r="A161" s="1" t="s">
        <v>21</v>
      </c>
      <c r="B161" s="1" t="s">
        <v>19</v>
      </c>
      <c r="C161" s="1" t="s">
        <v>14</v>
      </c>
      <c r="D161" s="1">
        <v>901</v>
      </c>
      <c r="E161" s="1" t="s">
        <v>15</v>
      </c>
      <c r="F161" s="1" t="s">
        <v>13</v>
      </c>
      <c r="G161" s="1" t="str">
        <f t="shared" si="6"/>
        <v>🟢 STABLE</v>
      </c>
      <c r="H161" s="3">
        <v>46184</v>
      </c>
      <c r="I161" s="1">
        <f t="shared" si="5"/>
        <v>2</v>
      </c>
    </row>
    <row r="162" spans="1:9" x14ac:dyDescent="0.3">
      <c r="A162" s="1" t="s">
        <v>21</v>
      </c>
      <c r="B162" s="1" t="s">
        <v>19</v>
      </c>
      <c r="C162" s="1" t="s">
        <v>14</v>
      </c>
      <c r="D162" s="1">
        <v>898</v>
      </c>
      <c r="E162" s="1" t="s">
        <v>12</v>
      </c>
      <c r="F162" s="1" t="s">
        <v>16</v>
      </c>
      <c r="G162" s="1" t="str">
        <f t="shared" si="6"/>
        <v>🟢 STABLE</v>
      </c>
      <c r="H162" s="3">
        <v>46185</v>
      </c>
      <c r="I162" s="1">
        <f t="shared" si="5"/>
        <v>2</v>
      </c>
    </row>
    <row r="163" spans="1:9" x14ac:dyDescent="0.3">
      <c r="A163" s="1" t="s">
        <v>21</v>
      </c>
      <c r="B163" s="1" t="s">
        <v>18</v>
      </c>
      <c r="C163" s="1" t="s">
        <v>8</v>
      </c>
      <c r="D163" s="1">
        <v>965</v>
      </c>
      <c r="E163" s="1" t="s">
        <v>9</v>
      </c>
      <c r="F163" s="1" t="s">
        <v>16</v>
      </c>
      <c r="G163" s="1" t="str">
        <f t="shared" si="6"/>
        <v>🟢 STABLE</v>
      </c>
      <c r="H163" s="3">
        <v>46186</v>
      </c>
      <c r="I163" s="1">
        <f t="shared" si="5"/>
        <v>3</v>
      </c>
    </row>
    <row r="164" spans="1:9" x14ac:dyDescent="0.3">
      <c r="A164" s="1" t="s">
        <v>21</v>
      </c>
      <c r="B164" s="1" t="s">
        <v>11</v>
      </c>
      <c r="C164" s="1" t="s">
        <v>14</v>
      </c>
      <c r="D164" s="1">
        <v>1289</v>
      </c>
      <c r="E164" s="1" t="s">
        <v>9</v>
      </c>
      <c r="F164" s="1" t="s">
        <v>16</v>
      </c>
      <c r="G164" s="1" t="str">
        <f t="shared" si="6"/>
        <v>🟢 STABLE</v>
      </c>
      <c r="H164" s="3">
        <v>46187</v>
      </c>
      <c r="I164" s="1">
        <f t="shared" si="5"/>
        <v>7</v>
      </c>
    </row>
    <row r="165" spans="1:9" x14ac:dyDescent="0.3">
      <c r="A165" s="1" t="s">
        <v>21</v>
      </c>
      <c r="B165" s="1" t="s">
        <v>11</v>
      </c>
      <c r="C165" s="1" t="s">
        <v>14</v>
      </c>
      <c r="D165" s="1">
        <v>1372</v>
      </c>
      <c r="E165" s="1" t="s">
        <v>12</v>
      </c>
      <c r="F165" s="1" t="s">
        <v>13</v>
      </c>
      <c r="G165" s="1" t="str">
        <f t="shared" si="6"/>
        <v>🟢 STABLE</v>
      </c>
      <c r="H165" s="3">
        <v>46188</v>
      </c>
      <c r="I165" s="1">
        <f t="shared" si="5"/>
        <v>7</v>
      </c>
    </row>
    <row r="166" spans="1:9" x14ac:dyDescent="0.3">
      <c r="A166" s="1" t="s">
        <v>21</v>
      </c>
      <c r="B166" s="1" t="s">
        <v>19</v>
      </c>
      <c r="C166" s="1" t="s">
        <v>14</v>
      </c>
      <c r="D166" s="1">
        <v>1279</v>
      </c>
      <c r="E166" s="1" t="s">
        <v>12</v>
      </c>
      <c r="F166" s="1" t="s">
        <v>16</v>
      </c>
      <c r="G166" s="1" t="str">
        <f t="shared" si="6"/>
        <v>🟢 STABLE</v>
      </c>
      <c r="H166" s="3">
        <v>46189</v>
      </c>
      <c r="I166" s="1">
        <f t="shared" si="5"/>
        <v>2</v>
      </c>
    </row>
    <row r="167" spans="1:9" x14ac:dyDescent="0.3">
      <c r="A167" s="1" t="s">
        <v>21</v>
      </c>
      <c r="B167" s="1" t="s">
        <v>19</v>
      </c>
      <c r="C167" s="1" t="s">
        <v>8</v>
      </c>
      <c r="D167" s="1">
        <v>1206</v>
      </c>
      <c r="E167" s="1" t="s">
        <v>12</v>
      </c>
      <c r="F167" s="1" t="s">
        <v>16</v>
      </c>
      <c r="G167" s="1" t="str">
        <f t="shared" si="6"/>
        <v>🟢 STABLE</v>
      </c>
      <c r="H167" s="3">
        <v>46190</v>
      </c>
      <c r="I167" s="1">
        <f t="shared" si="5"/>
        <v>2</v>
      </c>
    </row>
    <row r="168" spans="1:9" x14ac:dyDescent="0.3">
      <c r="A168" s="1" t="s">
        <v>21</v>
      </c>
      <c r="B168" s="1" t="s">
        <v>17</v>
      </c>
      <c r="C168" s="1" t="s">
        <v>8</v>
      </c>
      <c r="D168" s="1">
        <v>1291</v>
      </c>
      <c r="E168" s="1" t="s">
        <v>9</v>
      </c>
      <c r="F168" s="1" t="s">
        <v>13</v>
      </c>
      <c r="G168" s="1" t="str">
        <f t="shared" si="6"/>
        <v>🟢 STABLE</v>
      </c>
      <c r="H168" s="3">
        <v>46191</v>
      </c>
      <c r="I168" s="1">
        <f t="shared" si="5"/>
        <v>3</v>
      </c>
    </row>
    <row r="169" spans="1:9" x14ac:dyDescent="0.3">
      <c r="A169" s="1" t="s">
        <v>21</v>
      </c>
      <c r="B169" s="1" t="s">
        <v>19</v>
      </c>
      <c r="C169" s="1" t="s">
        <v>14</v>
      </c>
      <c r="D169" s="1">
        <v>1167</v>
      </c>
      <c r="E169" s="1" t="s">
        <v>12</v>
      </c>
      <c r="F169" s="1" t="s">
        <v>13</v>
      </c>
      <c r="G169" s="1" t="str">
        <f t="shared" si="6"/>
        <v>🟢 STABLE</v>
      </c>
      <c r="H169" s="3">
        <v>46192</v>
      </c>
      <c r="I169" s="1">
        <f t="shared" si="5"/>
        <v>2</v>
      </c>
    </row>
    <row r="170" spans="1:9" x14ac:dyDescent="0.3">
      <c r="A170" s="1" t="s">
        <v>21</v>
      </c>
      <c r="B170" s="1" t="s">
        <v>7</v>
      </c>
      <c r="C170" s="1" t="s">
        <v>14</v>
      </c>
      <c r="D170" s="1">
        <v>1028</v>
      </c>
      <c r="E170" s="1" t="s">
        <v>15</v>
      </c>
      <c r="F170" s="1" t="s">
        <v>13</v>
      </c>
      <c r="G170" s="1" t="str">
        <f t="shared" si="6"/>
        <v>🟢 STABLE</v>
      </c>
      <c r="H170" s="3">
        <v>46193</v>
      </c>
      <c r="I170" s="1">
        <f t="shared" si="5"/>
        <v>2</v>
      </c>
    </row>
    <row r="171" spans="1:9" x14ac:dyDescent="0.3">
      <c r="A171" s="1" t="s">
        <v>21</v>
      </c>
      <c r="B171" s="1" t="s">
        <v>19</v>
      </c>
      <c r="C171" s="1" t="s">
        <v>8</v>
      </c>
      <c r="D171" s="1">
        <v>919</v>
      </c>
      <c r="E171" s="1" t="s">
        <v>12</v>
      </c>
      <c r="F171" s="1" t="s">
        <v>16</v>
      </c>
      <c r="G171" s="1" t="str">
        <f t="shared" si="6"/>
        <v>🟢 STABLE</v>
      </c>
      <c r="H171" s="3">
        <v>46194</v>
      </c>
      <c r="I171" s="1">
        <f t="shared" si="5"/>
        <v>2</v>
      </c>
    </row>
    <row r="172" spans="1:9" x14ac:dyDescent="0.3">
      <c r="A172" s="1" t="s">
        <v>21</v>
      </c>
      <c r="B172" s="1" t="s">
        <v>7</v>
      </c>
      <c r="C172" s="1" t="s">
        <v>8</v>
      </c>
      <c r="D172" s="1">
        <v>1088</v>
      </c>
      <c r="E172" s="1" t="s">
        <v>12</v>
      </c>
      <c r="F172" s="1" t="s">
        <v>13</v>
      </c>
      <c r="G172" s="1" t="str">
        <f t="shared" si="6"/>
        <v>🟢 STABLE</v>
      </c>
      <c r="H172" s="3">
        <v>46195</v>
      </c>
      <c r="I172" s="1">
        <f t="shared" si="5"/>
        <v>2</v>
      </c>
    </row>
    <row r="173" spans="1:9" x14ac:dyDescent="0.3">
      <c r="A173" s="1" t="s">
        <v>21</v>
      </c>
      <c r="B173" s="1" t="s">
        <v>17</v>
      </c>
      <c r="C173" s="1" t="s">
        <v>14</v>
      </c>
      <c r="D173" s="1">
        <v>873</v>
      </c>
      <c r="E173" s="1" t="s">
        <v>9</v>
      </c>
      <c r="F173" s="1" t="s">
        <v>16</v>
      </c>
      <c r="G173" s="1" t="str">
        <f t="shared" si="6"/>
        <v>🟢 STABLE</v>
      </c>
      <c r="H173" s="3">
        <v>46196</v>
      </c>
      <c r="I173" s="1">
        <f t="shared" si="5"/>
        <v>3</v>
      </c>
    </row>
    <row r="174" spans="1:9" x14ac:dyDescent="0.3">
      <c r="A174" s="1" t="s">
        <v>21</v>
      </c>
      <c r="B174" s="1" t="s">
        <v>11</v>
      </c>
      <c r="C174" s="1" t="s">
        <v>14</v>
      </c>
      <c r="D174" s="1">
        <v>886</v>
      </c>
      <c r="E174" s="1" t="s">
        <v>12</v>
      </c>
      <c r="F174" s="1" t="s">
        <v>16</v>
      </c>
      <c r="G174" s="1" t="str">
        <f t="shared" si="6"/>
        <v>🟢 STABLE</v>
      </c>
      <c r="H174" s="3">
        <v>46197</v>
      </c>
      <c r="I174" s="1">
        <f t="shared" si="5"/>
        <v>7</v>
      </c>
    </row>
    <row r="175" spans="1:9" x14ac:dyDescent="0.3">
      <c r="A175" s="1" t="s">
        <v>21</v>
      </c>
      <c r="B175" s="1" t="s">
        <v>18</v>
      </c>
      <c r="C175" s="1" t="s">
        <v>14</v>
      </c>
      <c r="D175" s="1">
        <v>1083</v>
      </c>
      <c r="E175" s="1" t="s">
        <v>12</v>
      </c>
      <c r="F175" s="1" t="s">
        <v>13</v>
      </c>
      <c r="G175" s="1" t="str">
        <f t="shared" si="6"/>
        <v>🟢 STABLE</v>
      </c>
      <c r="H175" s="3">
        <v>46198</v>
      </c>
      <c r="I175" s="1">
        <f t="shared" si="5"/>
        <v>3</v>
      </c>
    </row>
    <row r="176" spans="1:9" x14ac:dyDescent="0.3">
      <c r="A176" s="1" t="s">
        <v>21</v>
      </c>
      <c r="B176" s="1" t="s">
        <v>11</v>
      </c>
      <c r="C176" s="1" t="s">
        <v>14</v>
      </c>
      <c r="D176" s="1">
        <v>946</v>
      </c>
      <c r="E176" s="1" t="s">
        <v>15</v>
      </c>
      <c r="F176" s="1" t="s">
        <v>10</v>
      </c>
      <c r="G176" s="1" t="str">
        <f t="shared" si="6"/>
        <v>🔴 CRITICAL</v>
      </c>
      <c r="H176" s="3">
        <v>46199</v>
      </c>
      <c r="I176" s="1">
        <f t="shared" si="5"/>
        <v>7</v>
      </c>
    </row>
    <row r="177" spans="1:9" x14ac:dyDescent="0.3">
      <c r="A177" s="1" t="s">
        <v>21</v>
      </c>
      <c r="B177" s="1" t="s">
        <v>7</v>
      </c>
      <c r="C177" s="1" t="s">
        <v>8</v>
      </c>
      <c r="D177" s="1">
        <v>876</v>
      </c>
      <c r="E177" s="1" t="s">
        <v>9</v>
      </c>
      <c r="F177" s="1" t="s">
        <v>16</v>
      </c>
      <c r="G177" s="1" t="str">
        <f t="shared" si="6"/>
        <v>🟢 STABLE</v>
      </c>
      <c r="H177" s="3">
        <v>46200</v>
      </c>
      <c r="I177" s="1">
        <f t="shared" si="5"/>
        <v>2</v>
      </c>
    </row>
    <row r="178" spans="1:9" x14ac:dyDescent="0.3">
      <c r="A178" s="1" t="s">
        <v>21</v>
      </c>
      <c r="B178" s="1" t="s">
        <v>7</v>
      </c>
      <c r="C178" s="1" t="s">
        <v>14</v>
      </c>
      <c r="D178" s="1">
        <v>1235</v>
      </c>
      <c r="E178" s="1" t="s">
        <v>12</v>
      </c>
      <c r="F178" s="1" t="s">
        <v>13</v>
      </c>
      <c r="G178" s="1" t="str">
        <f t="shared" si="6"/>
        <v>🟢 STABLE</v>
      </c>
      <c r="H178" s="3">
        <v>46201</v>
      </c>
      <c r="I178" s="1">
        <f t="shared" si="5"/>
        <v>2</v>
      </c>
    </row>
    <row r="179" spans="1:9" x14ac:dyDescent="0.3">
      <c r="A179" s="1" t="s">
        <v>21</v>
      </c>
      <c r="B179" s="1" t="s">
        <v>11</v>
      </c>
      <c r="C179" s="1" t="s">
        <v>8</v>
      </c>
      <c r="D179" s="1">
        <v>896</v>
      </c>
      <c r="E179" s="1" t="s">
        <v>15</v>
      </c>
      <c r="F179" s="1" t="s">
        <v>13</v>
      </c>
      <c r="G179" s="1" t="str">
        <f t="shared" si="6"/>
        <v>🟢 STABLE</v>
      </c>
      <c r="H179" s="3">
        <v>46202</v>
      </c>
      <c r="I179" s="1">
        <f t="shared" si="5"/>
        <v>7</v>
      </c>
    </row>
    <row r="180" spans="1:9" x14ac:dyDescent="0.3">
      <c r="A180" s="1" t="s">
        <v>21</v>
      </c>
      <c r="B180" s="1" t="s">
        <v>11</v>
      </c>
      <c r="C180" s="1" t="s">
        <v>8</v>
      </c>
      <c r="D180" s="1">
        <v>1229</v>
      </c>
      <c r="E180" s="1" t="s">
        <v>12</v>
      </c>
      <c r="F180" s="1" t="s">
        <v>10</v>
      </c>
      <c r="G180" s="1" t="str">
        <f t="shared" si="6"/>
        <v>🔴 CRITICAL</v>
      </c>
      <c r="H180" s="3">
        <v>46203</v>
      </c>
      <c r="I180" s="1">
        <f t="shared" si="5"/>
        <v>7</v>
      </c>
    </row>
    <row r="181" spans="1:9" x14ac:dyDescent="0.3">
      <c r="A181" s="1" t="s">
        <v>21</v>
      </c>
      <c r="B181" s="1" t="s">
        <v>18</v>
      </c>
      <c r="C181" s="1" t="s">
        <v>8</v>
      </c>
      <c r="D181" s="1">
        <v>1367</v>
      </c>
      <c r="E181" s="1" t="s">
        <v>9</v>
      </c>
      <c r="F181" s="1" t="s">
        <v>13</v>
      </c>
      <c r="G181" s="1" t="str">
        <f t="shared" si="6"/>
        <v>🟢 STABLE</v>
      </c>
      <c r="H181" s="3">
        <v>46204</v>
      </c>
      <c r="I181" s="1">
        <f t="shared" si="5"/>
        <v>3</v>
      </c>
    </row>
    <row r="182" spans="1:9" x14ac:dyDescent="0.3">
      <c r="A182" s="1" t="s">
        <v>6</v>
      </c>
      <c r="B182" s="1" t="s">
        <v>17</v>
      </c>
      <c r="C182" s="1" t="s">
        <v>8</v>
      </c>
      <c r="D182" s="1">
        <v>938</v>
      </c>
      <c r="E182" s="1" t="s">
        <v>15</v>
      </c>
      <c r="F182" s="1" t="s">
        <v>13</v>
      </c>
      <c r="G182" s="1" t="str">
        <f t="shared" si="6"/>
        <v>🟢 STABLE</v>
      </c>
      <c r="H182" s="3">
        <v>46205</v>
      </c>
      <c r="I182" s="1">
        <f t="shared" si="5"/>
        <v>3</v>
      </c>
    </row>
    <row r="183" spans="1:9" x14ac:dyDescent="0.3">
      <c r="A183" s="1" t="s">
        <v>6</v>
      </c>
      <c r="B183" s="1" t="s">
        <v>11</v>
      </c>
      <c r="C183" s="1" t="s">
        <v>8</v>
      </c>
      <c r="D183" s="1">
        <v>917</v>
      </c>
      <c r="E183" s="1" t="s">
        <v>15</v>
      </c>
      <c r="F183" s="1" t="s">
        <v>13</v>
      </c>
      <c r="G183" s="1" t="str">
        <f t="shared" si="6"/>
        <v>🟢 STABLE</v>
      </c>
      <c r="H183" s="3">
        <v>46206</v>
      </c>
      <c r="I183" s="1">
        <f t="shared" si="5"/>
        <v>7</v>
      </c>
    </row>
    <row r="184" spans="1:9" x14ac:dyDescent="0.3">
      <c r="A184" s="1" t="s">
        <v>6</v>
      </c>
      <c r="B184" s="1" t="s">
        <v>7</v>
      </c>
      <c r="C184" s="1" t="s">
        <v>14</v>
      </c>
      <c r="D184" s="1">
        <v>1085</v>
      </c>
      <c r="E184" s="1" t="s">
        <v>12</v>
      </c>
      <c r="F184" s="1" t="s">
        <v>13</v>
      </c>
      <c r="G184" s="1" t="str">
        <f t="shared" si="6"/>
        <v>🟢 STABLE</v>
      </c>
      <c r="H184" s="3">
        <v>46207</v>
      </c>
      <c r="I184" s="1">
        <f t="shared" si="5"/>
        <v>2</v>
      </c>
    </row>
    <row r="185" spans="1:9" x14ac:dyDescent="0.3">
      <c r="A185" s="1" t="s">
        <v>6</v>
      </c>
      <c r="B185" s="1" t="s">
        <v>7</v>
      </c>
      <c r="C185" s="1" t="s">
        <v>8</v>
      </c>
      <c r="D185" s="1">
        <v>1019</v>
      </c>
      <c r="E185" s="1" t="s">
        <v>12</v>
      </c>
      <c r="F185" s="1" t="s">
        <v>13</v>
      </c>
      <c r="G185" s="1" t="str">
        <f t="shared" si="6"/>
        <v>🟢 STABLE</v>
      </c>
      <c r="H185" s="3">
        <v>46208</v>
      </c>
      <c r="I185" s="1">
        <f t="shared" si="5"/>
        <v>2</v>
      </c>
    </row>
    <row r="186" spans="1:9" x14ac:dyDescent="0.3">
      <c r="A186" s="1" t="s">
        <v>6</v>
      </c>
      <c r="B186" s="1" t="s">
        <v>19</v>
      </c>
      <c r="C186" s="1" t="s">
        <v>14</v>
      </c>
      <c r="D186" s="1">
        <v>1337</v>
      </c>
      <c r="E186" s="1" t="s">
        <v>9</v>
      </c>
      <c r="F186" s="1" t="s">
        <v>16</v>
      </c>
      <c r="G186" s="1" t="str">
        <f t="shared" si="6"/>
        <v>🟢 STABLE</v>
      </c>
      <c r="H186" s="3">
        <v>46209</v>
      </c>
      <c r="I186" s="1">
        <f t="shared" si="5"/>
        <v>2</v>
      </c>
    </row>
    <row r="187" spans="1:9" x14ac:dyDescent="0.3">
      <c r="A187" s="1" t="s">
        <v>6</v>
      </c>
      <c r="B187" s="1" t="s">
        <v>11</v>
      </c>
      <c r="C187" s="1" t="s">
        <v>8</v>
      </c>
      <c r="D187" s="1">
        <v>907</v>
      </c>
      <c r="E187" s="1" t="s">
        <v>15</v>
      </c>
      <c r="F187" s="1" t="s">
        <v>10</v>
      </c>
      <c r="G187" s="1" t="str">
        <f t="shared" si="6"/>
        <v>🔴 CRITICAL</v>
      </c>
      <c r="H187" s="3">
        <v>46210</v>
      </c>
      <c r="I187" s="1">
        <f t="shared" si="5"/>
        <v>7</v>
      </c>
    </row>
    <row r="188" spans="1:9" x14ac:dyDescent="0.3">
      <c r="A188" s="1" t="s">
        <v>6</v>
      </c>
      <c r="B188" s="1" t="s">
        <v>19</v>
      </c>
      <c r="C188" s="1" t="s">
        <v>14</v>
      </c>
      <c r="D188" s="1">
        <v>1060</v>
      </c>
      <c r="E188" s="1" t="s">
        <v>12</v>
      </c>
      <c r="F188" s="1" t="s">
        <v>13</v>
      </c>
      <c r="G188" s="1" t="str">
        <f t="shared" si="6"/>
        <v>🟢 STABLE</v>
      </c>
      <c r="H188" s="3">
        <v>46211</v>
      </c>
      <c r="I188" s="1">
        <f t="shared" si="5"/>
        <v>2</v>
      </c>
    </row>
    <row r="189" spans="1:9" x14ac:dyDescent="0.3">
      <c r="A189" s="1" t="s">
        <v>6</v>
      </c>
      <c r="B189" s="1" t="s">
        <v>19</v>
      </c>
      <c r="C189" s="1" t="s">
        <v>14</v>
      </c>
      <c r="D189" s="1">
        <v>943</v>
      </c>
      <c r="E189" s="1" t="s">
        <v>15</v>
      </c>
      <c r="F189" s="1" t="s">
        <v>13</v>
      </c>
      <c r="G189" s="1" t="str">
        <f t="shared" si="6"/>
        <v>🟢 STABLE</v>
      </c>
      <c r="H189" s="3">
        <v>46212</v>
      </c>
      <c r="I189" s="1">
        <f t="shared" si="5"/>
        <v>2</v>
      </c>
    </row>
    <row r="190" spans="1:9" x14ac:dyDescent="0.3">
      <c r="A190" s="1" t="s">
        <v>6</v>
      </c>
      <c r="B190" s="1" t="s">
        <v>11</v>
      </c>
      <c r="C190" s="1" t="s">
        <v>8</v>
      </c>
      <c r="D190" s="1">
        <v>931</v>
      </c>
      <c r="E190" s="1" t="s">
        <v>12</v>
      </c>
      <c r="F190" s="1" t="s">
        <v>13</v>
      </c>
      <c r="G190" s="1" t="str">
        <f t="shared" si="6"/>
        <v>🟢 STABLE</v>
      </c>
      <c r="H190" s="3">
        <v>46213</v>
      </c>
      <c r="I190" s="1">
        <f t="shared" si="5"/>
        <v>7</v>
      </c>
    </row>
    <row r="191" spans="1:9" x14ac:dyDescent="0.3">
      <c r="A191" s="1" t="s">
        <v>6</v>
      </c>
      <c r="B191" s="1" t="s">
        <v>11</v>
      </c>
      <c r="C191" s="1" t="s">
        <v>14</v>
      </c>
      <c r="D191" s="1">
        <v>1272</v>
      </c>
      <c r="E191" s="1" t="s">
        <v>9</v>
      </c>
      <c r="F191" s="1" t="s">
        <v>13</v>
      </c>
      <c r="G191" s="1" t="str">
        <f t="shared" si="6"/>
        <v>🟢 STABLE</v>
      </c>
      <c r="H191" s="3">
        <v>46214</v>
      </c>
      <c r="I191" s="1">
        <f t="shared" si="5"/>
        <v>7</v>
      </c>
    </row>
    <row r="192" spans="1:9" x14ac:dyDescent="0.3">
      <c r="A192" s="1" t="s">
        <v>6</v>
      </c>
      <c r="B192" s="1" t="s">
        <v>11</v>
      </c>
      <c r="C192" s="1" t="s">
        <v>14</v>
      </c>
      <c r="D192" s="1">
        <v>862</v>
      </c>
      <c r="E192" s="1" t="s">
        <v>9</v>
      </c>
      <c r="F192" s="1" t="s">
        <v>13</v>
      </c>
      <c r="G192" s="1" t="str">
        <f t="shared" si="6"/>
        <v>🟢 STABLE</v>
      </c>
      <c r="H192" s="3">
        <v>46215</v>
      </c>
      <c r="I192" s="1">
        <f t="shared" si="5"/>
        <v>7</v>
      </c>
    </row>
    <row r="193" spans="1:9" x14ac:dyDescent="0.3">
      <c r="A193" s="1" t="s">
        <v>6</v>
      </c>
      <c r="B193" s="1" t="s">
        <v>18</v>
      </c>
      <c r="C193" s="1" t="s">
        <v>8</v>
      </c>
      <c r="D193" s="1">
        <v>1255</v>
      </c>
      <c r="E193" s="1" t="s">
        <v>12</v>
      </c>
      <c r="F193" s="1" t="s">
        <v>13</v>
      </c>
      <c r="G193" s="1" t="str">
        <f t="shared" si="6"/>
        <v>🟢 STABLE</v>
      </c>
      <c r="H193" s="3">
        <v>46216</v>
      </c>
      <c r="I193" s="1">
        <f t="shared" si="5"/>
        <v>3</v>
      </c>
    </row>
    <row r="194" spans="1:9" x14ac:dyDescent="0.3">
      <c r="A194" s="1" t="s">
        <v>6</v>
      </c>
      <c r="B194" s="1" t="s">
        <v>18</v>
      </c>
      <c r="C194" s="1" t="s">
        <v>8</v>
      </c>
      <c r="D194" s="1">
        <v>859</v>
      </c>
      <c r="E194" s="1" t="s">
        <v>12</v>
      </c>
      <c r="F194" s="1" t="s">
        <v>13</v>
      </c>
      <c r="G194" s="1" t="str">
        <f t="shared" si="6"/>
        <v>🟢 STABLE</v>
      </c>
      <c r="H194" s="3">
        <v>46217</v>
      </c>
      <c r="I194" s="1">
        <f t="shared" si="5"/>
        <v>3</v>
      </c>
    </row>
    <row r="195" spans="1:9" x14ac:dyDescent="0.3">
      <c r="A195" s="1" t="s">
        <v>6</v>
      </c>
      <c r="B195" s="1" t="s">
        <v>17</v>
      </c>
      <c r="C195" s="1" t="s">
        <v>14</v>
      </c>
      <c r="D195" s="1">
        <v>1018</v>
      </c>
      <c r="E195" s="1" t="s">
        <v>9</v>
      </c>
      <c r="F195" s="1" t="s">
        <v>10</v>
      </c>
      <c r="G195" s="1" t="str">
        <f t="shared" si="6"/>
        <v>🔴 CRITICAL</v>
      </c>
      <c r="H195" s="3">
        <v>46218</v>
      </c>
      <c r="I195" s="1">
        <f t="shared" ref="I195:I201" si="7">COUNTIFS(B:B, B195, F:F, "Shortage")</f>
        <v>3</v>
      </c>
    </row>
    <row r="196" spans="1:9" x14ac:dyDescent="0.3">
      <c r="A196" s="1" t="s">
        <v>6</v>
      </c>
      <c r="B196" s="1" t="s">
        <v>18</v>
      </c>
      <c r="C196" s="1" t="s">
        <v>14</v>
      </c>
      <c r="D196" s="1">
        <v>1216</v>
      </c>
      <c r="E196" s="1" t="s">
        <v>12</v>
      </c>
      <c r="F196" s="1" t="s">
        <v>16</v>
      </c>
      <c r="G196" s="1" t="str">
        <f t="shared" si="6"/>
        <v>🟢 STABLE</v>
      </c>
      <c r="H196" s="3">
        <v>46219</v>
      </c>
      <c r="I196" s="1">
        <f t="shared" si="7"/>
        <v>3</v>
      </c>
    </row>
    <row r="197" spans="1:9" x14ac:dyDescent="0.3">
      <c r="A197" s="1" t="s">
        <v>6</v>
      </c>
      <c r="B197" s="1" t="s">
        <v>18</v>
      </c>
      <c r="C197" s="1" t="s">
        <v>14</v>
      </c>
      <c r="D197" s="1">
        <v>1309</v>
      </c>
      <c r="E197" s="1" t="s">
        <v>15</v>
      </c>
      <c r="F197" s="1" t="s">
        <v>16</v>
      </c>
      <c r="G197" s="1" t="str">
        <f t="shared" si="6"/>
        <v>🟢 STABLE</v>
      </c>
      <c r="H197" s="3">
        <v>46220</v>
      </c>
      <c r="I197" s="1">
        <f t="shared" si="7"/>
        <v>3</v>
      </c>
    </row>
    <row r="198" spans="1:9" x14ac:dyDescent="0.3">
      <c r="A198" s="1" t="s">
        <v>6</v>
      </c>
      <c r="B198" s="1" t="s">
        <v>19</v>
      </c>
      <c r="C198" s="1" t="s">
        <v>14</v>
      </c>
      <c r="D198" s="1">
        <v>1163</v>
      </c>
      <c r="E198" s="1" t="s">
        <v>9</v>
      </c>
      <c r="F198" s="1" t="s">
        <v>10</v>
      </c>
      <c r="G198" s="1" t="str">
        <f t="shared" si="6"/>
        <v>🔴 CRITICAL</v>
      </c>
      <c r="H198" s="3">
        <v>46221</v>
      </c>
      <c r="I198" s="1">
        <f t="shared" si="7"/>
        <v>2</v>
      </c>
    </row>
    <row r="199" spans="1:9" x14ac:dyDescent="0.3">
      <c r="A199" s="1" t="s">
        <v>6</v>
      </c>
      <c r="B199" s="1" t="s">
        <v>11</v>
      </c>
      <c r="C199" s="1" t="s">
        <v>8</v>
      </c>
      <c r="D199" s="1">
        <v>1106</v>
      </c>
      <c r="E199" s="1" t="s">
        <v>15</v>
      </c>
      <c r="F199" s="1" t="s">
        <v>13</v>
      </c>
      <c r="G199" s="1" t="str">
        <f t="shared" si="6"/>
        <v>🟢 STABLE</v>
      </c>
      <c r="H199" s="3">
        <v>46222</v>
      </c>
      <c r="I199" s="1">
        <f t="shared" si="7"/>
        <v>7</v>
      </c>
    </row>
    <row r="200" spans="1:9" x14ac:dyDescent="0.3">
      <c r="A200" s="1" t="s">
        <v>6</v>
      </c>
      <c r="B200" s="1" t="s">
        <v>19</v>
      </c>
      <c r="C200" s="1" t="s">
        <v>8</v>
      </c>
      <c r="D200" s="1">
        <v>871</v>
      </c>
      <c r="E200" s="1" t="s">
        <v>12</v>
      </c>
      <c r="F200" s="1" t="s">
        <v>13</v>
      </c>
      <c r="G200" s="1" t="str">
        <f t="shared" si="6"/>
        <v>🟢 STABLE</v>
      </c>
      <c r="H200" s="3">
        <v>46223</v>
      </c>
      <c r="I200" s="1">
        <f t="shared" si="7"/>
        <v>2</v>
      </c>
    </row>
    <row r="201" spans="1:9" x14ac:dyDescent="0.3">
      <c r="A201" s="1" t="s">
        <v>6</v>
      </c>
      <c r="B201" s="1" t="s">
        <v>17</v>
      </c>
      <c r="C201" s="1" t="s">
        <v>8</v>
      </c>
      <c r="D201" s="1">
        <v>1097</v>
      </c>
      <c r="E201" s="1" t="s">
        <v>12</v>
      </c>
      <c r="F201" s="1" t="s">
        <v>13</v>
      </c>
      <c r="G201" s="1" t="str">
        <f t="shared" si="6"/>
        <v>🟢 STABLE</v>
      </c>
      <c r="H201" s="3">
        <v>46224</v>
      </c>
      <c r="I201" s="1">
        <f t="shared" si="7"/>
        <v>3</v>
      </c>
    </row>
  </sheetData>
  <phoneticPr fontId="1" type="noConversion"/>
  <dataValidations count="1">
    <dataValidation type="list" allowBlank="1" showInputMessage="1" showErrorMessage="1" sqref="E1:E1048576" xr:uid="{2A3821A2-838E-4DAD-9CFF-50393F66D262}">
      <formula1>"Qatar, USA, Argentina"</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13B4-F054-49D1-BDC6-AC36B03BF418}">
  <dimension ref="A3:N9"/>
  <sheetViews>
    <sheetView workbookViewId="0">
      <selection activeCell="J12" sqref="J12"/>
    </sheetView>
  </sheetViews>
  <sheetFormatPr defaultRowHeight="14.4" x14ac:dyDescent="0.3"/>
  <cols>
    <col min="1" max="1" width="12.5546875" style="7" bestFit="1" customWidth="1"/>
    <col min="2" max="2" width="19.5546875" style="7" bestFit="1" customWidth="1"/>
    <col min="3" max="3" width="8.88671875" style="7"/>
    <col min="4" max="4" width="12.5546875" style="7" bestFit="1" customWidth="1"/>
    <col min="5" max="5" width="17.6640625" style="7" bestFit="1" customWidth="1"/>
    <col min="6" max="6" width="8.88671875" style="7"/>
    <col min="7" max="7" width="12.5546875" style="7" bestFit="1" customWidth="1"/>
    <col min="8" max="8" width="17.6640625" style="7" bestFit="1" customWidth="1"/>
    <col min="9" max="9" width="12.5546875" style="7" bestFit="1" customWidth="1"/>
    <col min="10" max="10" width="19.5546875" style="7" bestFit="1" customWidth="1"/>
    <col min="11" max="11" width="15.5546875" style="7" bestFit="1" customWidth="1"/>
    <col min="12" max="12" width="7.21875" style="7" bestFit="1" customWidth="1"/>
    <col min="13" max="13" width="8.5546875" style="7" bestFit="1" customWidth="1"/>
    <col min="14" max="14" width="10.77734375" style="7" bestFit="1" customWidth="1"/>
    <col min="15" max="15" width="8.5546875" style="7" bestFit="1" customWidth="1"/>
    <col min="16" max="16" width="10.77734375" style="7" bestFit="1" customWidth="1"/>
    <col min="17" max="16384" width="8.88671875" style="7"/>
  </cols>
  <sheetData>
    <row r="3" spans="1:14" x14ac:dyDescent="0.3">
      <c r="A3" s="7" t="s">
        <v>22</v>
      </c>
      <c r="B3" s="7" t="s">
        <v>24</v>
      </c>
      <c r="D3" s="7" t="s">
        <v>22</v>
      </c>
      <c r="E3" s="7" t="s">
        <v>25</v>
      </c>
      <c r="G3" s="7" t="s">
        <v>22</v>
      </c>
      <c r="H3" s="7" t="s">
        <v>25</v>
      </c>
      <c r="J3" s="7" t="s">
        <v>24</v>
      </c>
      <c r="K3" s="7" t="s">
        <v>26</v>
      </c>
    </row>
    <row r="4" spans="1:14" x14ac:dyDescent="0.3">
      <c r="A4" s="8" t="s">
        <v>16</v>
      </c>
      <c r="B4" s="7">
        <v>54</v>
      </c>
      <c r="D4" s="8" t="s">
        <v>18</v>
      </c>
      <c r="E4" s="7">
        <v>1154.9714285714285</v>
      </c>
      <c r="G4" s="8" t="s">
        <v>9</v>
      </c>
      <c r="H4" s="7">
        <v>1131.2769230769231</v>
      </c>
      <c r="J4" s="7" t="s">
        <v>22</v>
      </c>
      <c r="K4" s="7" t="s">
        <v>16</v>
      </c>
      <c r="L4" s="7" t="s">
        <v>13</v>
      </c>
      <c r="M4" s="7" t="s">
        <v>10</v>
      </c>
      <c r="N4" s="7" t="s">
        <v>23</v>
      </c>
    </row>
    <row r="5" spans="1:14" x14ac:dyDescent="0.3">
      <c r="A5" s="8" t="s">
        <v>13</v>
      </c>
      <c r="B5" s="7">
        <v>129</v>
      </c>
      <c r="D5" s="8" t="s">
        <v>17</v>
      </c>
      <c r="E5" s="7">
        <v>1141.1290322580646</v>
      </c>
      <c r="G5" s="8" t="s">
        <v>12</v>
      </c>
      <c r="H5" s="9">
        <v>1126.2361111111111</v>
      </c>
      <c r="J5" s="8" t="s">
        <v>8</v>
      </c>
      <c r="K5" s="7">
        <v>26</v>
      </c>
      <c r="L5" s="7">
        <v>72</v>
      </c>
      <c r="M5" s="7">
        <v>9</v>
      </c>
      <c r="N5" s="7">
        <v>107</v>
      </c>
    </row>
    <row r="6" spans="1:14" x14ac:dyDescent="0.3">
      <c r="A6" s="8" t="s">
        <v>10</v>
      </c>
      <c r="B6" s="7">
        <v>17</v>
      </c>
      <c r="D6" s="8" t="s">
        <v>7</v>
      </c>
      <c r="E6" s="7">
        <v>1127.2750000000001</v>
      </c>
      <c r="G6" s="8" t="s">
        <v>15</v>
      </c>
      <c r="H6" s="10">
        <v>1109.3015873015872</v>
      </c>
      <c r="J6" s="8" t="s">
        <v>14</v>
      </c>
      <c r="K6" s="7">
        <v>28</v>
      </c>
      <c r="L6" s="7">
        <v>57</v>
      </c>
      <c r="M6" s="7">
        <v>8</v>
      </c>
      <c r="N6" s="7">
        <v>93</v>
      </c>
    </row>
    <row r="7" spans="1:14" x14ac:dyDescent="0.3">
      <c r="A7" s="8" t="s">
        <v>23</v>
      </c>
      <c r="B7" s="7">
        <v>200</v>
      </c>
      <c r="D7" s="8" t="s">
        <v>19</v>
      </c>
      <c r="E7" s="7">
        <v>1126.2127659574469</v>
      </c>
      <c r="G7" s="8" t="s">
        <v>23</v>
      </c>
      <c r="H7" s="7">
        <v>1122.54</v>
      </c>
      <c r="J7" s="8" t="s">
        <v>23</v>
      </c>
      <c r="K7" s="7">
        <v>54</v>
      </c>
      <c r="L7" s="7">
        <v>129</v>
      </c>
      <c r="M7" s="7">
        <v>17</v>
      </c>
      <c r="N7" s="7">
        <v>200</v>
      </c>
    </row>
    <row r="8" spans="1:14" x14ac:dyDescent="0.3">
      <c r="D8" s="8" t="s">
        <v>11</v>
      </c>
      <c r="E8" s="7">
        <v>1078.4255319148936</v>
      </c>
    </row>
    <row r="9" spans="1:14" x14ac:dyDescent="0.3">
      <c r="D9" s="8" t="s">
        <v>23</v>
      </c>
      <c r="E9" s="11">
        <v>1122.54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5A62-7C3E-48FC-B36A-5493FCFA8911}">
  <dimension ref="B10:L27"/>
  <sheetViews>
    <sheetView showGridLines="0" tabSelected="1" workbookViewId="0">
      <selection activeCell="H31" activeCellId="1" sqref="P2 H31"/>
    </sheetView>
  </sheetViews>
  <sheetFormatPr defaultRowHeight="14.4" x14ac:dyDescent="0.3"/>
  <cols>
    <col min="1" max="1" width="8.88671875" style="6" customWidth="1"/>
    <col min="2" max="3" width="8.88671875" style="6"/>
    <col min="4" max="4" width="17.6640625" style="6" bestFit="1" customWidth="1"/>
    <col min="5" max="16384" width="8.88671875" style="6"/>
  </cols>
  <sheetData>
    <row r="10" spans="2:10" ht="25.8" x14ac:dyDescent="0.5">
      <c r="B10" s="4">
        <f>GETPIVOTDATA("Supply Level",'Pivot Table'!$A$3,"Supply Level","Normal")</f>
        <v>129</v>
      </c>
      <c r="D10" s="12">
        <f>GETPIVOTDATA("Price (₹)",'Pivot Table'!$D$3,"Region","Mumbai")</f>
        <v>1154.9714285714285</v>
      </c>
      <c r="G10" s="5"/>
    </row>
    <row r="11" spans="2:10" x14ac:dyDescent="0.3">
      <c r="G11" s="13"/>
    </row>
    <row r="12" spans="2:10" x14ac:dyDescent="0.3">
      <c r="F12" s="14"/>
      <c r="I12" s="15">
        <f>GETPIVOTDATA("Supply Level",'Pivot Table'!$J$3,"Cylinder Type","Commercial")</f>
        <v>107</v>
      </c>
      <c r="J12" s="15">
        <f>GETPIVOTDATA("Supply Level",'Pivot Table'!$J$3,"Cylinder Type","Domestic")</f>
        <v>93</v>
      </c>
    </row>
    <row r="14" spans="2:10" x14ac:dyDescent="0.3">
      <c r="F14" s="16"/>
    </row>
    <row r="15" spans="2:10" x14ac:dyDescent="0.3">
      <c r="H15" s="14"/>
      <c r="I15" s="14"/>
      <c r="J15" s="14"/>
    </row>
    <row r="27" spans="12:12" x14ac:dyDescent="0.3">
      <c r="L27" s="6" t="s">
        <v>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LPG Dataset 2026</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JETHALAL GADA</cp:lastModifiedBy>
  <dcterms:created xsi:type="dcterms:W3CDTF">2026-03-29T10:31:55Z</dcterms:created>
  <dcterms:modified xsi:type="dcterms:W3CDTF">2026-08-24T11:49:54Z</dcterms:modified>
</cp:coreProperties>
</file>